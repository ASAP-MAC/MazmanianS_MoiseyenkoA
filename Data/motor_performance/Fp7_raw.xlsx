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Probiotics behavior/"/>
    </mc:Choice>
  </mc:AlternateContent>
  <xr:revisionPtr revIDLastSave="172" documentId="13_ncr:1_{05E175B3-CFDA-3D4D-85F3-9C6F7C234B6B}" xr6:coauthVersionLast="47" xr6:coauthVersionMax="47" xr10:uidLastSave="{AA6E67F9-F972-714F-B971-CBC7F13941AE}"/>
  <bookViews>
    <workbookView xWindow="0" yWindow="500" windowWidth="28800" windowHeight="16120" activeTab="2" xr2:uid="{8FAD2B0A-511F-8C4E-B0A9-D9067B35B2EF}"/>
  </bookViews>
  <sheets>
    <sheet name="Cohort 1" sheetId="13" r:id="rId1"/>
    <sheet name="Cohort 2" sheetId="14" r:id="rId2"/>
    <sheet name="Beam" sheetId="4" r:id="rId3"/>
    <sheet name="Beam_steps" sheetId="8" r:id="rId4"/>
    <sheet name="Pole" sheetId="3" r:id="rId5"/>
    <sheet name="Wirehang" sheetId="7" r:id="rId6"/>
    <sheet name="Sticker" sheetId="6" r:id="rId7"/>
    <sheet name="Hindlimb" sheetId="5" r:id="rId8"/>
    <sheet name="Fecal_output" sheetId="9" r:id="rId9"/>
    <sheet name="Fecal_score" sheetId="15" r:id="rId10"/>
    <sheet name="Water_content" sheetId="10" r:id="rId11"/>
    <sheet name="Carmine_red" sheetId="11" r:id="rId12"/>
    <sheet name="Bead_exp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14" l="1"/>
  <c r="U54" i="14" s="1"/>
  <c r="P54" i="14"/>
  <c r="Q54" i="14" s="1"/>
  <c r="L54" i="14"/>
  <c r="K54" i="14"/>
  <c r="M54" i="14" s="1"/>
  <c r="U53" i="14"/>
  <c r="T53" i="14"/>
  <c r="P53" i="14"/>
  <c r="Q53" i="14" s="1"/>
  <c r="L53" i="14"/>
  <c r="K53" i="14"/>
  <c r="M53" i="14" s="1"/>
  <c r="T52" i="14"/>
  <c r="U52" i="14" s="1"/>
  <c r="P52" i="14"/>
  <c r="Q52" i="14" s="1"/>
  <c r="L52" i="14"/>
  <c r="K52" i="14"/>
  <c r="M52" i="14" s="1"/>
  <c r="T51" i="14"/>
  <c r="U51" i="14" s="1"/>
  <c r="Q51" i="14"/>
  <c r="P51" i="14"/>
  <c r="L51" i="14"/>
  <c r="K51" i="14"/>
  <c r="M51" i="14" s="1"/>
  <c r="T50" i="14"/>
  <c r="U50" i="14" s="1"/>
  <c r="P50" i="14"/>
  <c r="Q50" i="14" s="1"/>
  <c r="L50" i="14"/>
  <c r="K50" i="14"/>
  <c r="M50" i="14" s="1"/>
  <c r="T49" i="14"/>
  <c r="U49" i="14" s="1"/>
  <c r="P49" i="14"/>
  <c r="Q49" i="14" s="1"/>
  <c r="M49" i="14"/>
  <c r="L49" i="14"/>
  <c r="K49" i="14"/>
  <c r="T48" i="14"/>
  <c r="U48" i="14" s="1"/>
  <c r="P48" i="14"/>
  <c r="Q48" i="14" s="1"/>
  <c r="L48" i="14"/>
  <c r="M48" i="14" s="1"/>
  <c r="K48" i="14"/>
  <c r="T47" i="14"/>
  <c r="U47" i="14" s="1"/>
  <c r="P47" i="14"/>
  <c r="Q47" i="14" s="1"/>
  <c r="L47" i="14"/>
  <c r="K47" i="14"/>
  <c r="M47" i="14" s="1"/>
  <c r="T46" i="14"/>
  <c r="U46" i="14" s="1"/>
  <c r="P46" i="14"/>
  <c r="Q46" i="14" s="1"/>
  <c r="L46" i="14"/>
  <c r="K46" i="14"/>
  <c r="M46" i="14" s="1"/>
  <c r="U45" i="14"/>
  <c r="T45" i="14"/>
  <c r="P45" i="14"/>
  <c r="Q45" i="14" s="1"/>
  <c r="L45" i="14"/>
  <c r="K45" i="14"/>
  <c r="M45" i="14" s="1"/>
  <c r="T44" i="14"/>
  <c r="U44" i="14" s="1"/>
  <c r="P44" i="14"/>
  <c r="Q44" i="14" s="1"/>
  <c r="L44" i="14"/>
  <c r="K44" i="14"/>
  <c r="M44" i="14" s="1"/>
  <c r="I34" i="14"/>
  <c r="J34" i="14" s="1"/>
  <c r="F34" i="14"/>
  <c r="I33" i="14"/>
  <c r="J33" i="14" s="1"/>
  <c r="F33" i="14"/>
  <c r="I32" i="14"/>
  <c r="J32" i="14" s="1"/>
  <c r="F32" i="14"/>
  <c r="I31" i="14"/>
  <c r="J31" i="14" s="1"/>
  <c r="F31" i="14"/>
  <c r="I30" i="14"/>
  <c r="J30" i="14" s="1"/>
  <c r="F30" i="14"/>
  <c r="I29" i="14"/>
  <c r="J29" i="14" s="1"/>
  <c r="F29" i="14"/>
  <c r="J28" i="14"/>
  <c r="I28" i="14"/>
  <c r="F28" i="14"/>
  <c r="I27" i="14"/>
  <c r="J27" i="14" s="1"/>
  <c r="F27" i="14"/>
  <c r="I26" i="14"/>
  <c r="J26" i="14" s="1"/>
  <c r="F26" i="14"/>
  <c r="I25" i="14"/>
  <c r="J25" i="14" s="1"/>
  <c r="F25" i="14"/>
  <c r="I24" i="14"/>
  <c r="J24" i="14" s="1"/>
  <c r="F24" i="14"/>
  <c r="N16" i="14"/>
  <c r="K16" i="14"/>
  <c r="H16" i="14"/>
  <c r="E16" i="14"/>
  <c r="N15" i="14"/>
  <c r="K15" i="14"/>
  <c r="H15" i="14"/>
  <c r="E15" i="14"/>
  <c r="N14" i="14"/>
  <c r="K14" i="14"/>
  <c r="H14" i="14"/>
  <c r="E14" i="14"/>
  <c r="N13" i="14"/>
  <c r="K13" i="14"/>
  <c r="H13" i="14"/>
  <c r="E13" i="14"/>
  <c r="N12" i="14"/>
  <c r="K12" i="14"/>
  <c r="H12" i="14"/>
  <c r="E12" i="14"/>
  <c r="N11" i="14"/>
  <c r="K11" i="14"/>
  <c r="H11" i="14"/>
  <c r="E11" i="14"/>
  <c r="N10" i="14"/>
  <c r="K10" i="14"/>
  <c r="H10" i="14"/>
  <c r="E10" i="14"/>
  <c r="N9" i="14"/>
  <c r="K9" i="14"/>
  <c r="H9" i="14"/>
  <c r="E9" i="14"/>
  <c r="N8" i="14"/>
  <c r="K8" i="14"/>
  <c r="H8" i="14"/>
  <c r="E8" i="14"/>
  <c r="N7" i="14"/>
  <c r="K7" i="14"/>
  <c r="H7" i="14"/>
  <c r="E7" i="14"/>
  <c r="N6" i="14"/>
  <c r="K6" i="14"/>
  <c r="H6" i="14"/>
  <c r="E6" i="14"/>
  <c r="E6" i="13"/>
  <c r="H6" i="13"/>
  <c r="K6" i="13"/>
  <c r="N6" i="13"/>
  <c r="E7" i="13"/>
  <c r="H7" i="13"/>
  <c r="K7" i="13"/>
  <c r="N7" i="13"/>
  <c r="E8" i="13"/>
  <c r="H8" i="13"/>
  <c r="K8" i="13"/>
  <c r="N8" i="13"/>
  <c r="E9" i="13"/>
  <c r="H9" i="13"/>
  <c r="K9" i="13"/>
  <c r="N9" i="13"/>
  <c r="E10" i="13"/>
  <c r="H10" i="13"/>
  <c r="K10" i="13"/>
  <c r="N10" i="13"/>
  <c r="E11" i="13"/>
  <c r="H11" i="13"/>
  <c r="K11" i="13"/>
  <c r="N11" i="13"/>
  <c r="E12" i="13"/>
  <c r="H12" i="13"/>
  <c r="K12" i="13"/>
  <c r="N12" i="13"/>
  <c r="E13" i="13"/>
  <c r="H13" i="13"/>
  <c r="K13" i="13"/>
  <c r="N13" i="13"/>
  <c r="E14" i="13"/>
  <c r="H14" i="13"/>
  <c r="K14" i="13"/>
  <c r="N14" i="13"/>
  <c r="E15" i="13"/>
  <c r="H15" i="13"/>
  <c r="K15" i="13"/>
  <c r="N15" i="13"/>
  <c r="E16" i="13"/>
  <c r="H16" i="13"/>
  <c r="K16" i="13"/>
  <c r="N16" i="13"/>
  <c r="E17" i="13"/>
  <c r="H17" i="13"/>
  <c r="K17" i="13"/>
  <c r="N17" i="13"/>
  <c r="E18" i="13"/>
  <c r="H18" i="13"/>
  <c r="K18" i="13"/>
  <c r="N18" i="13"/>
  <c r="E19" i="13"/>
  <c r="H19" i="13"/>
  <c r="K19" i="13"/>
  <c r="N19" i="13"/>
  <c r="E20" i="13"/>
  <c r="H20" i="13"/>
  <c r="K20" i="13"/>
  <c r="N20" i="13"/>
  <c r="E21" i="13"/>
  <c r="H21" i="13"/>
  <c r="K21" i="13"/>
  <c r="N21" i="13"/>
  <c r="E22" i="13"/>
  <c r="H22" i="13"/>
  <c r="K22" i="13"/>
  <c r="N22" i="13"/>
  <c r="E23" i="13"/>
  <c r="H23" i="13"/>
  <c r="K23" i="13"/>
  <c r="N23" i="13"/>
  <c r="E24" i="13"/>
  <c r="H24" i="13"/>
  <c r="K24" i="13"/>
  <c r="N24" i="13"/>
  <c r="E25" i="13"/>
  <c r="H25" i="13"/>
  <c r="K25" i="13"/>
  <c r="N25" i="13"/>
  <c r="E26" i="13"/>
  <c r="H26" i="13"/>
  <c r="K26" i="13"/>
  <c r="N26" i="13"/>
  <c r="E27" i="13"/>
  <c r="H27" i="13"/>
  <c r="K27" i="13"/>
  <c r="N27" i="13"/>
  <c r="E28" i="13"/>
  <c r="H28" i="13"/>
  <c r="K28" i="13"/>
  <c r="N28" i="13"/>
  <c r="E29" i="13"/>
  <c r="H29" i="13"/>
  <c r="K29" i="13"/>
  <c r="N29" i="13"/>
  <c r="E30" i="13"/>
  <c r="H30" i="13"/>
  <c r="K30" i="13"/>
  <c r="N30" i="13"/>
  <c r="E31" i="13"/>
  <c r="H31" i="13"/>
  <c r="K31" i="13"/>
  <c r="N31" i="13"/>
  <c r="E32" i="13"/>
  <c r="H32" i="13"/>
  <c r="K32" i="13"/>
  <c r="N32" i="13"/>
  <c r="E33" i="13"/>
  <c r="H33" i="13"/>
  <c r="K33" i="13"/>
  <c r="N33" i="13"/>
  <c r="E34" i="13"/>
  <c r="H34" i="13"/>
  <c r="K34" i="13"/>
  <c r="N34" i="13"/>
  <c r="E35" i="13"/>
  <c r="H35" i="13"/>
  <c r="K35" i="13"/>
  <c r="N35" i="13"/>
  <c r="E36" i="13"/>
  <c r="H36" i="13"/>
  <c r="K36" i="13"/>
  <c r="N36" i="13"/>
  <c r="E37" i="13"/>
  <c r="H37" i="13"/>
  <c r="K37" i="13"/>
  <c r="N37" i="13"/>
  <c r="E38" i="13"/>
  <c r="H38" i="13"/>
  <c r="K38" i="13"/>
  <c r="N38" i="13"/>
  <c r="E39" i="13"/>
  <c r="H39" i="13"/>
  <c r="K39" i="13"/>
  <c r="N39" i="13"/>
  <c r="F47" i="13"/>
  <c r="I47" i="13"/>
  <c r="J47" i="13" s="1"/>
  <c r="F48" i="13"/>
  <c r="J48" i="13" s="1"/>
  <c r="I48" i="13"/>
  <c r="F49" i="13"/>
  <c r="I49" i="13"/>
  <c r="J49" i="13"/>
  <c r="F50" i="13"/>
  <c r="I50" i="13"/>
  <c r="J50" i="13" s="1"/>
  <c r="F51" i="13"/>
  <c r="I51" i="13"/>
  <c r="J51" i="13" s="1"/>
  <c r="F52" i="13"/>
  <c r="I52" i="13"/>
  <c r="J52" i="13"/>
  <c r="F53" i="13"/>
  <c r="I53" i="13"/>
  <c r="J53" i="13" s="1"/>
  <c r="F54" i="13"/>
  <c r="I54" i="13"/>
  <c r="J54" i="13" s="1"/>
  <c r="F55" i="13"/>
  <c r="I55" i="13"/>
  <c r="J55" i="13"/>
  <c r="F56" i="13"/>
  <c r="I56" i="13"/>
  <c r="J56" i="13" s="1"/>
  <c r="F57" i="13"/>
  <c r="I57" i="13"/>
  <c r="J57" i="13" s="1"/>
  <c r="F58" i="13"/>
  <c r="I58" i="13"/>
  <c r="J58" i="13" s="1"/>
  <c r="F59" i="13"/>
  <c r="J59" i="13" s="1"/>
  <c r="I59" i="13"/>
  <c r="F60" i="13"/>
  <c r="I60" i="13"/>
  <c r="J60" i="13" s="1"/>
  <c r="F61" i="13"/>
  <c r="I61" i="13"/>
  <c r="J61" i="13" s="1"/>
  <c r="F62" i="13"/>
  <c r="I62" i="13"/>
  <c r="J62" i="13" s="1"/>
  <c r="F63" i="13"/>
  <c r="I63" i="13"/>
  <c r="J63" i="13"/>
  <c r="F64" i="13"/>
  <c r="I64" i="13"/>
  <c r="J64" i="13" s="1"/>
  <c r="F65" i="13"/>
  <c r="J65" i="13" s="1"/>
  <c r="I65" i="13"/>
  <c r="F66" i="13"/>
  <c r="I66" i="13"/>
  <c r="J66" i="13"/>
  <c r="F67" i="13"/>
  <c r="J67" i="13" s="1"/>
  <c r="I67" i="13"/>
  <c r="F68" i="13"/>
  <c r="I68" i="13"/>
  <c r="J68" i="13"/>
  <c r="F69" i="13"/>
  <c r="I69" i="13"/>
  <c r="J69" i="13" s="1"/>
  <c r="F70" i="13"/>
  <c r="I70" i="13"/>
  <c r="J70" i="13" s="1"/>
  <c r="F71" i="13"/>
  <c r="I71" i="13"/>
  <c r="J71" i="13"/>
  <c r="F72" i="13"/>
  <c r="I72" i="13"/>
  <c r="J72" i="13" s="1"/>
  <c r="F73" i="13"/>
  <c r="J73" i="13" s="1"/>
  <c r="I73" i="13"/>
  <c r="F74" i="13"/>
  <c r="I74" i="13"/>
  <c r="J74" i="13"/>
  <c r="F75" i="13"/>
  <c r="J75" i="13" s="1"/>
  <c r="I75" i="13"/>
  <c r="F76" i="13"/>
  <c r="I76" i="13"/>
  <c r="J76" i="13"/>
  <c r="F77" i="13"/>
  <c r="I77" i="13"/>
  <c r="J77" i="13" s="1"/>
  <c r="F78" i="13"/>
  <c r="I78" i="13"/>
  <c r="J78" i="13" s="1"/>
  <c r="F79" i="13"/>
  <c r="I79" i="13"/>
  <c r="J79" i="13"/>
  <c r="F80" i="13"/>
  <c r="I80" i="13"/>
  <c r="J80" i="13" s="1"/>
  <c r="K89" i="13"/>
  <c r="M89" i="13" s="1"/>
  <c r="L89" i="13"/>
  <c r="P89" i="13"/>
  <c r="Q89" i="13"/>
  <c r="K90" i="13"/>
  <c r="M90" i="13" s="1"/>
  <c r="L90" i="13"/>
  <c r="P90" i="13"/>
  <c r="Q90" i="13" s="1"/>
  <c r="T90" i="13"/>
  <c r="U90" i="13"/>
  <c r="K91" i="13"/>
  <c r="M91" i="13" s="1"/>
  <c r="L91" i="13"/>
  <c r="P91" i="13"/>
  <c r="Q91" i="13"/>
  <c r="T91" i="13"/>
  <c r="U91" i="13"/>
  <c r="K92" i="13"/>
  <c r="L92" i="13"/>
  <c r="M92" i="13"/>
  <c r="P92" i="13"/>
  <c r="Q92" i="13" s="1"/>
  <c r="T92" i="13"/>
  <c r="U92" i="13" s="1"/>
  <c r="K93" i="13"/>
  <c r="L93" i="13"/>
  <c r="M93" i="13"/>
  <c r="Q93" i="13"/>
  <c r="T93" i="13"/>
  <c r="U93" i="13" s="1"/>
  <c r="K94" i="13"/>
  <c r="M94" i="13" s="1"/>
  <c r="L94" i="13"/>
  <c r="P94" i="13"/>
  <c r="Q94" i="13"/>
  <c r="T94" i="13"/>
  <c r="U94" i="13" s="1"/>
  <c r="K95" i="13"/>
  <c r="M95" i="13" s="1"/>
  <c r="L95" i="13"/>
  <c r="P95" i="13"/>
  <c r="Q95" i="13"/>
  <c r="T95" i="13"/>
  <c r="U95" i="13"/>
  <c r="K96" i="13"/>
  <c r="M96" i="13" s="1"/>
  <c r="L96" i="13"/>
  <c r="P96" i="13"/>
  <c r="Q96" i="13"/>
  <c r="T96" i="13"/>
  <c r="U96" i="13"/>
  <c r="K97" i="13"/>
  <c r="M97" i="13" s="1"/>
  <c r="L97" i="13"/>
  <c r="P97" i="13"/>
  <c r="Q97" i="13" s="1"/>
  <c r="T97" i="13"/>
  <c r="U97" i="13"/>
  <c r="K98" i="13"/>
  <c r="M98" i="13" s="1"/>
  <c r="L98" i="13"/>
  <c r="P98" i="13"/>
  <c r="Q98" i="13"/>
  <c r="T98" i="13"/>
  <c r="U98" i="13"/>
  <c r="K99" i="13"/>
  <c r="L99" i="13"/>
  <c r="M99" i="13"/>
  <c r="P99" i="13"/>
  <c r="Q99" i="13" s="1"/>
  <c r="T99" i="13"/>
  <c r="U99" i="13" s="1"/>
  <c r="K100" i="13"/>
  <c r="L100" i="13"/>
  <c r="M100" i="13"/>
  <c r="Q100" i="13"/>
  <c r="T100" i="13"/>
  <c r="U100" i="13" s="1"/>
  <c r="K101" i="13"/>
  <c r="M101" i="13" s="1"/>
  <c r="L101" i="13"/>
  <c r="Q101" i="13"/>
  <c r="T101" i="13"/>
  <c r="U101" i="13"/>
  <c r="K102" i="13"/>
  <c r="M102" i="13" s="1"/>
  <c r="L102" i="13"/>
  <c r="Q102" i="13"/>
  <c r="U102" i="13"/>
  <c r="K103" i="13"/>
  <c r="L103" i="13"/>
  <c r="M103" i="13"/>
  <c r="P103" i="13"/>
  <c r="Q103" i="13" s="1"/>
  <c r="T103" i="13"/>
  <c r="U103" i="13" s="1"/>
  <c r="K104" i="13"/>
  <c r="L104" i="13"/>
  <c r="M104" i="13"/>
  <c r="P104" i="13"/>
  <c r="Q104" i="13" s="1"/>
  <c r="T104" i="13"/>
  <c r="U104" i="13"/>
  <c r="K105" i="13"/>
  <c r="L105" i="13"/>
  <c r="M105" i="13"/>
  <c r="P105" i="13"/>
  <c r="Q105" i="13"/>
  <c r="T105" i="13"/>
  <c r="U105" i="13" s="1"/>
  <c r="K106" i="13"/>
  <c r="M106" i="13" s="1"/>
  <c r="L106" i="13"/>
  <c r="P106" i="13"/>
  <c r="Q106" i="13"/>
  <c r="T106" i="13"/>
  <c r="U106" i="13" s="1"/>
  <c r="K107" i="13"/>
  <c r="M107" i="13" s="1"/>
  <c r="L107" i="13"/>
  <c r="P107" i="13"/>
  <c r="Q107" i="13"/>
  <c r="T107" i="13"/>
  <c r="U107" i="13"/>
  <c r="K108" i="13"/>
  <c r="M108" i="13" s="1"/>
  <c r="L108" i="13"/>
  <c r="P108" i="13"/>
  <c r="Q108" i="13"/>
  <c r="T108" i="13"/>
  <c r="U108" i="13"/>
  <c r="K109" i="13"/>
  <c r="M109" i="13" s="1"/>
  <c r="L109" i="13"/>
  <c r="P109" i="13"/>
  <c r="Q109" i="13" s="1"/>
  <c r="T109" i="13"/>
  <c r="U109" i="13"/>
  <c r="K110" i="13"/>
  <c r="M110" i="13" s="1"/>
  <c r="L110" i="13"/>
  <c r="P110" i="13"/>
  <c r="Q110" i="13"/>
  <c r="T110" i="13"/>
  <c r="U110" i="13"/>
  <c r="K111" i="13"/>
  <c r="L111" i="13"/>
  <c r="M111" i="13"/>
  <c r="P111" i="13"/>
  <c r="Q111" i="13" s="1"/>
  <c r="T111" i="13"/>
  <c r="U111" i="13" s="1"/>
  <c r="K112" i="13"/>
  <c r="L112" i="13"/>
  <c r="M112" i="13"/>
  <c r="P112" i="13"/>
  <c r="Q112" i="13" s="1"/>
  <c r="T112" i="13"/>
  <c r="U112" i="13"/>
  <c r="K113" i="13"/>
  <c r="L113" i="13"/>
  <c r="M113" i="13"/>
  <c r="P113" i="13"/>
  <c r="Q113" i="13"/>
  <c r="T113" i="13"/>
  <c r="U113" i="13" s="1"/>
  <c r="K114" i="13"/>
  <c r="M114" i="13" s="1"/>
  <c r="L114" i="13"/>
  <c r="P114" i="13"/>
  <c r="Q114" i="13"/>
  <c r="T114" i="13"/>
  <c r="U114" i="13" s="1"/>
  <c r="K115" i="13"/>
  <c r="M115" i="13" s="1"/>
  <c r="L115" i="13"/>
  <c r="P115" i="13"/>
  <c r="Q115" i="13"/>
  <c r="T115" i="13"/>
  <c r="U115" i="13"/>
  <c r="K116" i="13"/>
  <c r="M116" i="13" s="1"/>
  <c r="L116" i="13"/>
  <c r="P116" i="13"/>
  <c r="Q116" i="13"/>
  <c r="T116" i="13"/>
  <c r="U116" i="13"/>
  <c r="K117" i="13"/>
  <c r="M117" i="13" s="1"/>
  <c r="L117" i="13"/>
  <c r="P117" i="13"/>
  <c r="Q117" i="13" s="1"/>
  <c r="T117" i="13"/>
  <c r="U117" i="13"/>
  <c r="K118" i="13"/>
  <c r="M118" i="13" s="1"/>
  <c r="L118" i="13"/>
  <c r="P118" i="13"/>
  <c r="Q118" i="13"/>
  <c r="T118" i="13"/>
  <c r="U118" i="13" s="1"/>
  <c r="K119" i="13"/>
  <c r="L119" i="13"/>
  <c r="M119" i="13"/>
  <c r="P119" i="13"/>
  <c r="Q119" i="13" s="1"/>
  <c r="T119" i="13"/>
  <c r="U119" i="13"/>
  <c r="K120" i="13"/>
  <c r="L120" i="13"/>
  <c r="M120" i="13"/>
  <c r="P120" i="13"/>
  <c r="Q120" i="13" s="1"/>
  <c r="T120" i="13"/>
  <c r="U120" i="13"/>
  <c r="K121" i="13"/>
  <c r="L121" i="13"/>
  <c r="M121" i="13"/>
  <c r="P121" i="13"/>
  <c r="Q121" i="13"/>
  <c r="T121" i="13"/>
  <c r="U121" i="13" s="1"/>
  <c r="K122" i="13"/>
  <c r="M122" i="13" s="1"/>
  <c r="L122" i="13"/>
  <c r="P122" i="13"/>
  <c r="Q122" i="13"/>
  <c r="T122" i="13"/>
  <c r="U122" i="13" s="1"/>
</calcChain>
</file>

<file path=xl/sharedStrings.xml><?xml version="1.0" encoding="utf-8"?>
<sst xmlns="http://schemas.openxmlformats.org/spreadsheetml/2006/main" count="1197" uniqueCount="71">
  <si>
    <t>1hr protocol - morning</t>
  </si>
  <si>
    <t>Animal #</t>
  </si>
  <si>
    <t>Genotype</t>
  </si>
  <si>
    <t>Beam</t>
  </si>
  <si>
    <t xml:space="preserve">Pole </t>
  </si>
  <si>
    <t>Wire Hang</t>
  </si>
  <si>
    <t xml:space="preserve">Sticker </t>
  </si>
  <si>
    <t>Hindlimb</t>
  </si>
  <si>
    <t>Fecal Output</t>
  </si>
  <si>
    <t>Trial 1</t>
  </si>
  <si>
    <t>Avg</t>
  </si>
  <si>
    <t>Total 1</t>
  </si>
  <si>
    <t>Total 2</t>
  </si>
  <si>
    <t>Avg Total</t>
  </si>
  <si>
    <t>15 min</t>
  </si>
  <si>
    <t>30 min</t>
  </si>
  <si>
    <t>45 min</t>
  </si>
  <si>
    <t>60 min</t>
  </si>
  <si>
    <t>WT</t>
  </si>
  <si>
    <t>ASO-CNTRL</t>
  </si>
  <si>
    <t>Steps</t>
  </si>
  <si>
    <t>Slips</t>
  </si>
  <si>
    <t>Errors/Step</t>
  </si>
  <si>
    <t>Water content</t>
  </si>
  <si>
    <t>tube weight (mg)</t>
  </si>
  <si>
    <t xml:space="preserve">tube + wet </t>
  </si>
  <si>
    <t>tube + dry</t>
  </si>
  <si>
    <t>% water</t>
  </si>
  <si>
    <t>Carmine red</t>
  </si>
  <si>
    <t>start time</t>
  </si>
  <si>
    <t>end time</t>
  </si>
  <si>
    <t>Bead expulsion</t>
  </si>
  <si>
    <t>fecal score</t>
  </si>
  <si>
    <t>taken from FO cages</t>
  </si>
  <si>
    <t>wet pellet</t>
  </si>
  <si>
    <t>dry pellet</t>
  </si>
  <si>
    <t>GI tests</t>
  </si>
  <si>
    <t>Weight (g)</t>
  </si>
  <si>
    <t>max</t>
  </si>
  <si>
    <t>8 hr max</t>
  </si>
  <si>
    <t>1 hr max</t>
  </si>
  <si>
    <t>25 hrs @ 65C</t>
  </si>
  <si>
    <t>morning</t>
  </si>
  <si>
    <t>time</t>
  </si>
  <si>
    <t>transit time (min)</t>
  </si>
  <si>
    <t>time to expulse (min)</t>
  </si>
  <si>
    <t>ID</t>
  </si>
  <si>
    <t>Cohort</t>
  </si>
  <si>
    <t>Cage</t>
  </si>
  <si>
    <t>Microbiome</t>
  </si>
  <si>
    <t>SPF</t>
  </si>
  <si>
    <t>ASO</t>
  </si>
  <si>
    <t>Fpr</t>
  </si>
  <si>
    <t>Trial1</t>
  </si>
  <si>
    <t>Trial2</t>
  </si>
  <si>
    <t>Steps_Trial1</t>
  </si>
  <si>
    <t>Steps_Trial2</t>
  </si>
  <si>
    <t>Slips_Trial1</t>
  </si>
  <si>
    <t>Slips_Trial2</t>
  </si>
  <si>
    <t>Trial15</t>
  </si>
  <si>
    <t>Trial30</t>
  </si>
  <si>
    <t>Trial45</t>
  </si>
  <si>
    <t>Trial60</t>
  </si>
  <si>
    <t>ASO-Fp</t>
  </si>
  <si>
    <t>sick - culled</t>
  </si>
  <si>
    <t>Testing 11/4/24</t>
  </si>
  <si>
    <t>21 wk</t>
  </si>
  <si>
    <t>Testing 10/28/24</t>
  </si>
  <si>
    <t>20 wk</t>
  </si>
  <si>
    <t>Testing 11/5/24</t>
  </si>
  <si>
    <t>Testing 11/1128/24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</si>
</sst>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0" fontId="0" fillId="0" borderId="0" xfId="0" applyNumberFormat="1"/>
    <xf numFmtId="2" fontId="0" fillId="0" borderId="0" xfId="0" applyNumberFormat="1"/>
    <xf numFmtId="0" fontId="2" fillId="0" borderId="0" xfId="0" applyFont="1"/>
    <xf numFmtId="165" fontId="0" fillId="0" borderId="0" xfId="0" applyNumberFormat="1"/>
    <xf numFmtId="2" fontId="0" fillId="9" borderId="0" xfId="0" applyNumberFormat="1" applyFill="1"/>
    <xf numFmtId="20" fontId="0" fillId="9" borderId="0" xfId="0" applyNumberFormat="1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F785-9E32-5243-B81E-1978CE55E059}">
  <dimension ref="A3:U122"/>
  <sheetViews>
    <sheetView zoomScale="90" zoomScaleNormal="90" workbookViewId="0">
      <selection activeCell="A6" sqref="A6:B39"/>
    </sheetView>
  </sheetViews>
  <sheetFormatPr baseColWidth="10" defaultRowHeight="16" x14ac:dyDescent="0.2"/>
  <sheetData>
    <row r="3" spans="1:16" x14ac:dyDescent="0.2">
      <c r="A3" s="1" t="s">
        <v>68</v>
      </c>
    </row>
    <row r="4" spans="1:16" x14ac:dyDescent="0.2">
      <c r="A4" s="2" t="s">
        <v>1</v>
      </c>
      <c r="B4" s="2" t="s">
        <v>2</v>
      </c>
      <c r="C4" s="2" t="s">
        <v>3</v>
      </c>
      <c r="F4" s="2" t="s">
        <v>4</v>
      </c>
      <c r="I4" s="2" t="s">
        <v>5</v>
      </c>
      <c r="L4" s="2" t="s">
        <v>6</v>
      </c>
      <c r="O4" s="2" t="s">
        <v>7</v>
      </c>
      <c r="P4" s="2" t="s">
        <v>37</v>
      </c>
    </row>
    <row r="5" spans="1:16" x14ac:dyDescent="0.2">
      <c r="A5" s="1" t="s">
        <v>67</v>
      </c>
      <c r="B5" s="3"/>
      <c r="C5" s="3" t="s">
        <v>9</v>
      </c>
      <c r="D5" s="3">
        <v>2</v>
      </c>
      <c r="E5" s="4" t="s">
        <v>10</v>
      </c>
      <c r="F5" s="3" t="s">
        <v>11</v>
      </c>
      <c r="G5" s="3" t="s">
        <v>12</v>
      </c>
      <c r="H5" s="4" t="s">
        <v>13</v>
      </c>
      <c r="I5" s="3">
        <v>1</v>
      </c>
      <c r="J5" s="3">
        <v>2</v>
      </c>
      <c r="K5" s="4" t="s">
        <v>10</v>
      </c>
      <c r="L5" s="3">
        <v>1</v>
      </c>
      <c r="M5" s="3">
        <v>2</v>
      </c>
      <c r="N5" s="4" t="s">
        <v>10</v>
      </c>
      <c r="O5" s="3"/>
      <c r="P5" s="3"/>
    </row>
    <row r="6" spans="1:16" x14ac:dyDescent="0.2">
      <c r="A6" s="5">
        <v>2272</v>
      </c>
      <c r="B6" s="6" t="s">
        <v>18</v>
      </c>
      <c r="C6">
        <v>3.42</v>
      </c>
      <c r="D6">
        <v>3.36</v>
      </c>
      <c r="E6">
        <f>AVERAGE(C6:D6)</f>
        <v>3.3899999999999997</v>
      </c>
      <c r="F6">
        <v>5.34</v>
      </c>
      <c r="G6">
        <v>4.95</v>
      </c>
      <c r="H6">
        <f>AVERAGE(F6:G6)</f>
        <v>5.1449999999999996</v>
      </c>
      <c r="I6">
        <v>60</v>
      </c>
      <c r="K6">
        <f>AVERAGE(I6:J6)</f>
        <v>60</v>
      </c>
      <c r="L6">
        <v>2</v>
      </c>
      <c r="M6">
        <v>2.5499999999999998</v>
      </c>
      <c r="N6">
        <f>AVERAGE(L6:M6)</f>
        <v>2.2749999999999999</v>
      </c>
      <c r="O6">
        <v>0</v>
      </c>
    </row>
    <row r="7" spans="1:16" x14ac:dyDescent="0.2">
      <c r="A7" s="5">
        <v>2273</v>
      </c>
      <c r="B7" s="7"/>
      <c r="C7">
        <v>4.33</v>
      </c>
      <c r="D7">
        <v>2.73</v>
      </c>
      <c r="E7">
        <f>AVERAGE(C7:D7)</f>
        <v>3.5300000000000002</v>
      </c>
      <c r="F7">
        <v>5.14</v>
      </c>
      <c r="G7">
        <v>4.88</v>
      </c>
      <c r="H7">
        <f>AVERAGE(F7:G7)</f>
        <v>5.01</v>
      </c>
      <c r="I7">
        <v>60</v>
      </c>
      <c r="K7">
        <f>AVERAGE(I7:J7)</f>
        <v>60</v>
      </c>
      <c r="L7">
        <v>1.65</v>
      </c>
      <c r="M7">
        <v>1.23</v>
      </c>
      <c r="N7">
        <f>AVERAGE(L7:M7)</f>
        <v>1.44</v>
      </c>
      <c r="O7">
        <v>0</v>
      </c>
    </row>
    <row r="8" spans="1:16" x14ac:dyDescent="0.2">
      <c r="A8" s="5">
        <v>2274</v>
      </c>
      <c r="B8" s="7"/>
      <c r="C8">
        <v>2.92</v>
      </c>
      <c r="D8">
        <v>2.11</v>
      </c>
      <c r="E8">
        <f>AVERAGE(C8:D8)</f>
        <v>2.5149999999999997</v>
      </c>
      <c r="F8">
        <v>4.12</v>
      </c>
      <c r="G8">
        <v>3.47</v>
      </c>
      <c r="H8">
        <f>AVERAGE(F8:G8)</f>
        <v>3.7949999999999999</v>
      </c>
      <c r="I8">
        <v>35.18</v>
      </c>
      <c r="K8">
        <f>AVERAGE(I8:J8)</f>
        <v>35.18</v>
      </c>
      <c r="L8">
        <v>1.32</v>
      </c>
      <c r="M8">
        <v>1.1100000000000001</v>
      </c>
      <c r="N8">
        <f>AVERAGE(L8:M8)</f>
        <v>1.2150000000000001</v>
      </c>
      <c r="O8">
        <v>0</v>
      </c>
    </row>
    <row r="9" spans="1:16" x14ac:dyDescent="0.2">
      <c r="A9" s="5">
        <v>2270</v>
      </c>
      <c r="B9" s="7"/>
      <c r="C9">
        <v>3.17</v>
      </c>
      <c r="D9">
        <v>2.82</v>
      </c>
      <c r="E9">
        <f>AVERAGE(C9:D9)</f>
        <v>2.9950000000000001</v>
      </c>
      <c r="F9">
        <v>6.47</v>
      </c>
      <c r="G9">
        <v>9.43</v>
      </c>
      <c r="H9">
        <f>AVERAGE(F9:G9)</f>
        <v>7.9499999999999993</v>
      </c>
      <c r="I9">
        <v>60</v>
      </c>
      <c r="K9">
        <f>AVERAGE(I9:J9)</f>
        <v>60</v>
      </c>
      <c r="L9">
        <v>1.48</v>
      </c>
      <c r="M9">
        <v>1.28</v>
      </c>
      <c r="N9">
        <f>AVERAGE(L9:M9)</f>
        <v>1.38</v>
      </c>
      <c r="O9">
        <v>1</v>
      </c>
    </row>
    <row r="10" spans="1:16" x14ac:dyDescent="0.2">
      <c r="A10" s="8">
        <v>2301</v>
      </c>
      <c r="B10" s="7"/>
      <c r="C10">
        <v>2.5299999999999998</v>
      </c>
      <c r="D10">
        <v>2.46</v>
      </c>
      <c r="E10">
        <f>AVERAGE(C10:D10)</f>
        <v>2.4950000000000001</v>
      </c>
      <c r="F10">
        <v>6.21</v>
      </c>
      <c r="G10">
        <v>4.9800000000000004</v>
      </c>
      <c r="H10">
        <f>AVERAGE(F10:G10)</f>
        <v>5.5950000000000006</v>
      </c>
      <c r="I10">
        <v>60</v>
      </c>
      <c r="K10">
        <f>AVERAGE(I10:J10)</f>
        <v>60</v>
      </c>
      <c r="L10">
        <v>1.76</v>
      </c>
      <c r="M10">
        <v>1.9</v>
      </c>
      <c r="N10">
        <f>AVERAGE(L10:M10)</f>
        <v>1.83</v>
      </c>
      <c r="O10">
        <v>0</v>
      </c>
    </row>
    <row r="11" spans="1:16" x14ac:dyDescent="0.2">
      <c r="A11" s="8">
        <v>2302</v>
      </c>
      <c r="B11" s="7"/>
      <c r="C11">
        <v>3.45</v>
      </c>
      <c r="D11">
        <v>2.5499999999999998</v>
      </c>
      <c r="E11">
        <f>AVERAGE(C11:D11)</f>
        <v>3</v>
      </c>
      <c r="F11">
        <v>5.57</v>
      </c>
      <c r="G11">
        <v>4.07</v>
      </c>
      <c r="H11">
        <f>AVERAGE(F11:G11)</f>
        <v>4.82</v>
      </c>
      <c r="I11">
        <v>16.98</v>
      </c>
      <c r="K11">
        <f>AVERAGE(I11:J11)</f>
        <v>16.98</v>
      </c>
      <c r="L11">
        <v>1.06</v>
      </c>
      <c r="M11">
        <v>1.35</v>
      </c>
      <c r="N11">
        <f>AVERAGE(L11:M11)</f>
        <v>1.2050000000000001</v>
      </c>
      <c r="O11">
        <v>0</v>
      </c>
    </row>
    <row r="12" spans="1:16" x14ac:dyDescent="0.2">
      <c r="A12" s="8">
        <v>2303</v>
      </c>
      <c r="B12" s="7"/>
      <c r="C12">
        <v>3.35</v>
      </c>
      <c r="D12">
        <v>2.63</v>
      </c>
      <c r="E12">
        <f>AVERAGE(C12:D12)</f>
        <v>2.99</v>
      </c>
      <c r="F12">
        <v>4.57</v>
      </c>
      <c r="G12">
        <v>4.12</v>
      </c>
      <c r="H12">
        <f>AVERAGE(F12:G12)</f>
        <v>4.3450000000000006</v>
      </c>
      <c r="I12">
        <v>22.64</v>
      </c>
      <c r="K12">
        <f>AVERAGE(I12:J12)</f>
        <v>22.64</v>
      </c>
      <c r="L12">
        <v>1.1499999999999999</v>
      </c>
      <c r="M12">
        <v>1.38</v>
      </c>
      <c r="N12">
        <f>AVERAGE(L12:M12)</f>
        <v>1.2649999999999999</v>
      </c>
      <c r="O12">
        <v>0</v>
      </c>
    </row>
    <row r="13" spans="1:16" x14ac:dyDescent="0.2">
      <c r="A13" s="5">
        <v>2304</v>
      </c>
      <c r="B13" s="7"/>
      <c r="C13">
        <v>4.2300000000000004</v>
      </c>
      <c r="D13">
        <v>3.3</v>
      </c>
      <c r="E13">
        <f>AVERAGE(C13:D13)</f>
        <v>3.7650000000000001</v>
      </c>
      <c r="F13">
        <v>4.38</v>
      </c>
      <c r="G13">
        <v>4.3</v>
      </c>
      <c r="H13">
        <f>AVERAGE(F13:G13)</f>
        <v>4.34</v>
      </c>
      <c r="I13">
        <v>60</v>
      </c>
      <c r="K13">
        <f>AVERAGE(I13:J13)</f>
        <v>60</v>
      </c>
      <c r="L13">
        <v>0.86</v>
      </c>
      <c r="M13">
        <v>1.08</v>
      </c>
      <c r="N13">
        <f>AVERAGE(L13:M13)</f>
        <v>0.97</v>
      </c>
      <c r="O13">
        <v>0</v>
      </c>
    </row>
    <row r="14" spans="1:16" x14ac:dyDescent="0.2">
      <c r="A14" s="5">
        <v>2306</v>
      </c>
      <c r="B14" s="7"/>
      <c r="C14">
        <v>6.07</v>
      </c>
      <c r="D14">
        <v>3.27</v>
      </c>
      <c r="E14">
        <f>AVERAGE(C14:D14)</f>
        <v>4.67</v>
      </c>
      <c r="F14">
        <v>7.61</v>
      </c>
      <c r="G14">
        <v>4.8899999999999997</v>
      </c>
      <c r="H14">
        <f>AVERAGE(F14:G14)</f>
        <v>6.25</v>
      </c>
      <c r="I14">
        <v>60</v>
      </c>
      <c r="K14">
        <f>AVERAGE(I14:J14)</f>
        <v>60</v>
      </c>
      <c r="L14">
        <v>2.2000000000000002</v>
      </c>
      <c r="M14">
        <v>1.9</v>
      </c>
      <c r="N14">
        <f>AVERAGE(L14:M14)</f>
        <v>2.0499999999999998</v>
      </c>
      <c r="O14">
        <v>1</v>
      </c>
    </row>
    <row r="15" spans="1:16" x14ac:dyDescent="0.2">
      <c r="A15" s="8">
        <v>2267</v>
      </c>
      <c r="B15" s="9" t="s">
        <v>19</v>
      </c>
      <c r="C15">
        <v>10.36</v>
      </c>
      <c r="D15">
        <v>6.5</v>
      </c>
      <c r="E15">
        <f>AVERAGE(C15:D15)</f>
        <v>8.43</v>
      </c>
      <c r="F15">
        <v>7.99</v>
      </c>
      <c r="G15">
        <v>6.42</v>
      </c>
      <c r="H15">
        <f>AVERAGE(F15:G15)</f>
        <v>7.2050000000000001</v>
      </c>
      <c r="I15">
        <v>1.83</v>
      </c>
      <c r="J15">
        <v>16.579999999999998</v>
      </c>
      <c r="K15">
        <f>AVERAGE(I15:J15)</f>
        <v>9.2049999999999983</v>
      </c>
      <c r="L15">
        <v>1.85</v>
      </c>
      <c r="M15">
        <v>6.62</v>
      </c>
      <c r="N15">
        <f>AVERAGE(L15:M15)</f>
        <v>4.2350000000000003</v>
      </c>
      <c r="O15">
        <v>1.5</v>
      </c>
    </row>
    <row r="16" spans="1:16" x14ac:dyDescent="0.2">
      <c r="A16" s="8">
        <v>2268</v>
      </c>
      <c r="B16" s="9"/>
      <c r="C16">
        <v>16.55</v>
      </c>
      <c r="D16">
        <v>8.73</v>
      </c>
      <c r="E16">
        <f>AVERAGE(C16:D16)</f>
        <v>12.64</v>
      </c>
      <c r="F16">
        <v>8.2799999999999994</v>
      </c>
      <c r="G16">
        <v>7.19</v>
      </c>
      <c r="H16">
        <f>AVERAGE(F16:G16)</f>
        <v>7.7349999999999994</v>
      </c>
      <c r="I16">
        <v>15.33</v>
      </c>
      <c r="J16">
        <v>14.96</v>
      </c>
      <c r="K16">
        <f>AVERAGE(I16:J16)</f>
        <v>15.145</v>
      </c>
      <c r="L16">
        <v>3.84</v>
      </c>
      <c r="M16">
        <v>6.56</v>
      </c>
      <c r="N16">
        <f>AVERAGE(L16:M16)</f>
        <v>5.1999999999999993</v>
      </c>
      <c r="O16">
        <v>2</v>
      </c>
    </row>
    <row r="17" spans="1:15" x14ac:dyDescent="0.2">
      <c r="A17" s="8">
        <v>2269</v>
      </c>
      <c r="B17" s="9"/>
      <c r="C17">
        <v>7.91</v>
      </c>
      <c r="D17">
        <v>4.87</v>
      </c>
      <c r="E17">
        <f>AVERAGE(C17:D17)</f>
        <v>6.3900000000000006</v>
      </c>
      <c r="F17">
        <v>9.8800000000000008</v>
      </c>
      <c r="G17">
        <v>8.68</v>
      </c>
      <c r="H17">
        <f>AVERAGE(F17:G17)</f>
        <v>9.2800000000000011</v>
      </c>
      <c r="I17">
        <v>3.15</v>
      </c>
      <c r="J17">
        <v>0.95</v>
      </c>
      <c r="K17">
        <f>AVERAGE(I17:J17)</f>
        <v>2.0499999999999998</v>
      </c>
      <c r="L17">
        <v>1.98</v>
      </c>
      <c r="M17">
        <v>4.42</v>
      </c>
      <c r="N17">
        <f>AVERAGE(L17:M17)</f>
        <v>3.2</v>
      </c>
      <c r="O17">
        <v>2</v>
      </c>
    </row>
    <row r="18" spans="1:15" x14ac:dyDescent="0.2">
      <c r="A18" s="8">
        <v>2271</v>
      </c>
      <c r="B18" s="9"/>
      <c r="C18">
        <v>5.62</v>
      </c>
      <c r="D18">
        <v>5.2</v>
      </c>
      <c r="E18">
        <f>AVERAGE(C18:D18)</f>
        <v>5.41</v>
      </c>
      <c r="F18">
        <v>5.49</v>
      </c>
      <c r="G18">
        <v>7.01</v>
      </c>
      <c r="H18">
        <f>AVERAGE(F18:G18)</f>
        <v>6.25</v>
      </c>
      <c r="I18">
        <v>8.06</v>
      </c>
      <c r="J18">
        <v>3.5</v>
      </c>
      <c r="K18">
        <f>AVERAGE(I18:J18)</f>
        <v>5.78</v>
      </c>
      <c r="L18">
        <v>2.2999999999999998</v>
      </c>
      <c r="M18">
        <v>2.1</v>
      </c>
      <c r="N18">
        <f>AVERAGE(L18:M18)</f>
        <v>2.2000000000000002</v>
      </c>
      <c r="O18">
        <v>1</v>
      </c>
    </row>
    <row r="19" spans="1:15" x14ac:dyDescent="0.2">
      <c r="A19" s="8">
        <v>2275</v>
      </c>
      <c r="B19" s="9"/>
      <c r="C19">
        <v>6.45</v>
      </c>
      <c r="D19">
        <v>6.35</v>
      </c>
      <c r="E19">
        <f>AVERAGE(C19:D19)</f>
        <v>6.4</v>
      </c>
      <c r="F19">
        <v>10.210000000000001</v>
      </c>
      <c r="G19">
        <v>10.98</v>
      </c>
      <c r="H19">
        <f>AVERAGE(F19:G19)</f>
        <v>10.595000000000001</v>
      </c>
      <c r="I19">
        <v>16.14</v>
      </c>
      <c r="J19">
        <v>0.1</v>
      </c>
      <c r="K19">
        <f>AVERAGE(I19:J19)</f>
        <v>8.120000000000001</v>
      </c>
      <c r="L19">
        <v>2.8</v>
      </c>
      <c r="M19">
        <v>1.98</v>
      </c>
      <c r="N19">
        <f>AVERAGE(L19:M19)</f>
        <v>2.3899999999999997</v>
      </c>
      <c r="O19">
        <v>1.5</v>
      </c>
    </row>
    <row r="20" spans="1:15" x14ac:dyDescent="0.2">
      <c r="A20" s="5">
        <v>2289</v>
      </c>
      <c r="B20" s="9"/>
      <c r="C20">
        <v>60</v>
      </c>
      <c r="D20">
        <v>60</v>
      </c>
      <c r="E20">
        <f>AVERAGE(C20:D20)</f>
        <v>60</v>
      </c>
      <c r="F20">
        <v>6.62</v>
      </c>
      <c r="G20">
        <v>6.07</v>
      </c>
      <c r="H20">
        <f>AVERAGE(F20:G20)</f>
        <v>6.3450000000000006</v>
      </c>
      <c r="I20">
        <v>4.67</v>
      </c>
      <c r="J20">
        <v>2.76</v>
      </c>
      <c r="K20">
        <f>AVERAGE(I20:J20)</f>
        <v>3.7149999999999999</v>
      </c>
      <c r="L20">
        <v>10.26</v>
      </c>
      <c r="M20">
        <v>10.56</v>
      </c>
      <c r="N20">
        <f>AVERAGE(L20:M20)</f>
        <v>10.41</v>
      </c>
      <c r="O20">
        <v>2</v>
      </c>
    </row>
    <row r="21" spans="1:15" x14ac:dyDescent="0.2">
      <c r="A21" s="5">
        <v>2290</v>
      </c>
      <c r="B21" s="9"/>
      <c r="C21">
        <v>11.57</v>
      </c>
      <c r="D21">
        <v>8.33</v>
      </c>
      <c r="E21">
        <f>AVERAGE(C21:D21)</f>
        <v>9.9499999999999993</v>
      </c>
      <c r="F21">
        <v>17.760000000000002</v>
      </c>
      <c r="G21">
        <v>14.12</v>
      </c>
      <c r="H21">
        <f>AVERAGE(F21:G21)</f>
        <v>15.940000000000001</v>
      </c>
      <c r="I21">
        <v>5.71</v>
      </c>
      <c r="J21">
        <v>0.43</v>
      </c>
      <c r="K21">
        <f>AVERAGE(I21:J21)</f>
        <v>3.07</v>
      </c>
      <c r="L21">
        <v>3.75</v>
      </c>
      <c r="M21">
        <v>2.8</v>
      </c>
      <c r="N21">
        <f>AVERAGE(L21:M21)</f>
        <v>3.2749999999999999</v>
      </c>
      <c r="O21">
        <v>1.5</v>
      </c>
    </row>
    <row r="22" spans="1:15" x14ac:dyDescent="0.2">
      <c r="A22" s="5">
        <v>2292</v>
      </c>
      <c r="B22" s="9"/>
      <c r="C22">
        <v>10.02</v>
      </c>
      <c r="D22">
        <v>6.63</v>
      </c>
      <c r="E22">
        <f>AVERAGE(C22:D22)</f>
        <v>8.3249999999999993</v>
      </c>
      <c r="F22">
        <v>13.95</v>
      </c>
      <c r="G22">
        <v>10.210000000000001</v>
      </c>
      <c r="H22">
        <f>AVERAGE(F22:G22)</f>
        <v>12.08</v>
      </c>
      <c r="I22">
        <v>1.06</v>
      </c>
      <c r="J22">
        <v>0.61</v>
      </c>
      <c r="K22">
        <f>AVERAGE(I22:J22)</f>
        <v>0.83499999999999996</v>
      </c>
      <c r="L22">
        <v>2.1</v>
      </c>
      <c r="M22">
        <v>2.37</v>
      </c>
      <c r="N22">
        <f>AVERAGE(L22:M22)</f>
        <v>2.2350000000000003</v>
      </c>
      <c r="O22">
        <v>1.5</v>
      </c>
    </row>
    <row r="23" spans="1:15" x14ac:dyDescent="0.2">
      <c r="A23" s="8">
        <v>2297</v>
      </c>
      <c r="B23" s="9"/>
      <c r="C23">
        <v>12.14</v>
      </c>
      <c r="D23">
        <v>4.8499999999999996</v>
      </c>
      <c r="E23">
        <f>AVERAGE(C23:D23)</f>
        <v>8.495000000000001</v>
      </c>
      <c r="F23">
        <v>6.01</v>
      </c>
      <c r="G23">
        <v>4.34</v>
      </c>
      <c r="H23">
        <f>AVERAGE(F23:G23)</f>
        <v>5.1749999999999998</v>
      </c>
      <c r="I23">
        <v>16.7</v>
      </c>
      <c r="J23">
        <v>11.4</v>
      </c>
      <c r="K23">
        <f>AVERAGE(I23:J23)</f>
        <v>14.05</v>
      </c>
      <c r="L23">
        <v>2.95</v>
      </c>
      <c r="M23">
        <v>3.84</v>
      </c>
      <c r="N23">
        <f>AVERAGE(L23:M23)</f>
        <v>3.395</v>
      </c>
      <c r="O23">
        <v>3</v>
      </c>
    </row>
    <row r="24" spans="1:15" x14ac:dyDescent="0.2">
      <c r="A24" s="8">
        <v>2298</v>
      </c>
      <c r="B24" s="9"/>
      <c r="C24">
        <v>11.79</v>
      </c>
      <c r="D24">
        <v>6.4</v>
      </c>
      <c r="E24">
        <f>AVERAGE(C24:D24)</f>
        <v>9.0949999999999989</v>
      </c>
      <c r="F24">
        <v>6.1</v>
      </c>
      <c r="G24">
        <v>5.39</v>
      </c>
      <c r="H24">
        <f>AVERAGE(F24:G24)</f>
        <v>5.7449999999999992</v>
      </c>
      <c r="I24">
        <v>9</v>
      </c>
      <c r="J24">
        <v>2.5299999999999998</v>
      </c>
      <c r="K24">
        <f>AVERAGE(I24:J24)</f>
        <v>5.7649999999999997</v>
      </c>
      <c r="L24">
        <v>2.98</v>
      </c>
      <c r="M24">
        <v>2.57</v>
      </c>
      <c r="N24">
        <f>AVERAGE(L24:M24)</f>
        <v>2.7749999999999999</v>
      </c>
      <c r="O24">
        <v>2</v>
      </c>
    </row>
    <row r="25" spans="1:15" x14ac:dyDescent="0.2">
      <c r="A25" s="8">
        <v>2299</v>
      </c>
      <c r="B25" s="9"/>
      <c r="C25">
        <v>5.59</v>
      </c>
      <c r="D25">
        <v>4.53</v>
      </c>
      <c r="E25">
        <f>AVERAGE(C25:D25)</f>
        <v>5.0600000000000005</v>
      </c>
      <c r="F25">
        <v>6.89</v>
      </c>
      <c r="G25">
        <v>7.05</v>
      </c>
      <c r="H25">
        <f>AVERAGE(F25:G25)</f>
        <v>6.97</v>
      </c>
      <c r="I25">
        <v>24.01</v>
      </c>
      <c r="J25">
        <v>14</v>
      </c>
      <c r="K25">
        <f>AVERAGE(I25:J25)</f>
        <v>19.005000000000003</v>
      </c>
      <c r="L25">
        <v>4.42</v>
      </c>
      <c r="M25">
        <v>3.67</v>
      </c>
      <c r="N25">
        <f>AVERAGE(L25:M25)</f>
        <v>4.0449999999999999</v>
      </c>
      <c r="O25">
        <v>2.5</v>
      </c>
    </row>
    <row r="26" spans="1:15" x14ac:dyDescent="0.2">
      <c r="A26" s="5">
        <v>2307</v>
      </c>
      <c r="B26" s="9"/>
      <c r="C26">
        <v>8.23</v>
      </c>
      <c r="D26">
        <v>4.67</v>
      </c>
      <c r="E26">
        <f>AVERAGE(C26:D26)</f>
        <v>6.45</v>
      </c>
      <c r="F26">
        <v>12.08</v>
      </c>
      <c r="G26">
        <v>6.37</v>
      </c>
      <c r="H26">
        <f>AVERAGE(F26:G26)</f>
        <v>9.2249999999999996</v>
      </c>
      <c r="I26">
        <v>19.100000000000001</v>
      </c>
      <c r="J26">
        <v>12</v>
      </c>
      <c r="K26">
        <f>AVERAGE(I26:J26)</f>
        <v>15.55</v>
      </c>
      <c r="L26">
        <v>3.4</v>
      </c>
      <c r="M26">
        <v>3.02</v>
      </c>
      <c r="N26">
        <f>AVERAGE(L26:M26)</f>
        <v>3.21</v>
      </c>
      <c r="O26">
        <v>1.5</v>
      </c>
    </row>
    <row r="27" spans="1:15" x14ac:dyDescent="0.2">
      <c r="A27" s="5">
        <v>2308</v>
      </c>
      <c r="B27" s="9"/>
      <c r="C27">
        <v>4.5199999999999996</v>
      </c>
      <c r="D27">
        <v>3.93</v>
      </c>
      <c r="E27">
        <f>AVERAGE(C27:D27)</f>
        <v>4.2249999999999996</v>
      </c>
      <c r="F27">
        <v>8.94</v>
      </c>
      <c r="G27">
        <v>6.89</v>
      </c>
      <c r="H27">
        <f>AVERAGE(F27:G27)</f>
        <v>7.9149999999999991</v>
      </c>
      <c r="I27">
        <v>17.43</v>
      </c>
      <c r="J27">
        <v>6.69</v>
      </c>
      <c r="K27">
        <f>AVERAGE(I27:J27)</f>
        <v>12.06</v>
      </c>
      <c r="L27">
        <v>3.53</v>
      </c>
      <c r="M27">
        <v>2.73</v>
      </c>
      <c r="N27">
        <f>AVERAGE(L27:M27)</f>
        <v>3.13</v>
      </c>
      <c r="O27">
        <v>2</v>
      </c>
    </row>
    <row r="28" spans="1:15" x14ac:dyDescent="0.2">
      <c r="A28" s="8">
        <v>2276</v>
      </c>
      <c r="B28" s="10" t="s">
        <v>63</v>
      </c>
      <c r="C28">
        <v>13.48</v>
      </c>
      <c r="D28">
        <v>8.1300000000000008</v>
      </c>
      <c r="E28">
        <f>AVERAGE(C28:D28)</f>
        <v>10.805</v>
      </c>
      <c r="F28">
        <v>21.22</v>
      </c>
      <c r="G28">
        <v>4.05</v>
      </c>
      <c r="H28">
        <f>AVERAGE(F28:G28)</f>
        <v>12.635</v>
      </c>
      <c r="I28">
        <v>2.38</v>
      </c>
      <c r="J28">
        <v>15.77</v>
      </c>
      <c r="K28">
        <f>AVERAGE(I28:J28)</f>
        <v>9.0749999999999993</v>
      </c>
      <c r="L28">
        <v>1.31</v>
      </c>
      <c r="M28">
        <v>2.1800000000000002</v>
      </c>
      <c r="N28">
        <f>AVERAGE(L28:M28)</f>
        <v>1.7450000000000001</v>
      </c>
      <c r="O28">
        <v>2</v>
      </c>
    </row>
    <row r="29" spans="1:15" x14ac:dyDescent="0.2">
      <c r="A29" s="8">
        <v>2277</v>
      </c>
      <c r="B29" s="10"/>
      <c r="C29">
        <v>60</v>
      </c>
      <c r="D29">
        <v>4.1500000000000004</v>
      </c>
      <c r="E29">
        <f>AVERAGE(C29:D29)</f>
        <v>32.075000000000003</v>
      </c>
      <c r="F29">
        <v>7.99</v>
      </c>
      <c r="G29">
        <v>6.96</v>
      </c>
      <c r="H29">
        <f>AVERAGE(F29:G29)</f>
        <v>7.4749999999999996</v>
      </c>
      <c r="I29">
        <v>60</v>
      </c>
      <c r="J29">
        <v>2.73</v>
      </c>
      <c r="K29">
        <f>AVERAGE(I29:J29)</f>
        <v>31.364999999999998</v>
      </c>
      <c r="L29">
        <v>2.33</v>
      </c>
      <c r="M29">
        <v>6.03</v>
      </c>
      <c r="N29">
        <f>AVERAGE(L29:M29)</f>
        <v>4.18</v>
      </c>
      <c r="O29">
        <v>0</v>
      </c>
    </row>
    <row r="30" spans="1:15" x14ac:dyDescent="0.2">
      <c r="A30" s="8">
        <v>2279</v>
      </c>
      <c r="B30" s="10"/>
      <c r="C30">
        <v>6.68</v>
      </c>
      <c r="D30">
        <v>12.3</v>
      </c>
      <c r="E30">
        <f>AVERAGE(C30:D30)</f>
        <v>9.49</v>
      </c>
      <c r="F30">
        <v>6.31</v>
      </c>
      <c r="G30">
        <v>3.7</v>
      </c>
      <c r="H30">
        <f>AVERAGE(F30:G30)</f>
        <v>5.0049999999999999</v>
      </c>
      <c r="I30">
        <v>10.050000000000001</v>
      </c>
      <c r="J30">
        <v>10.85</v>
      </c>
      <c r="K30">
        <f>AVERAGE(I30:J30)</f>
        <v>10.45</v>
      </c>
      <c r="L30">
        <v>6.61</v>
      </c>
      <c r="M30">
        <v>6.42</v>
      </c>
      <c r="N30">
        <f>AVERAGE(L30:M30)</f>
        <v>6.5150000000000006</v>
      </c>
      <c r="O30">
        <v>1</v>
      </c>
    </row>
    <row r="31" spans="1:15" x14ac:dyDescent="0.2">
      <c r="A31" s="5">
        <v>2280</v>
      </c>
      <c r="B31" s="10"/>
      <c r="C31">
        <v>11.62</v>
      </c>
      <c r="D31">
        <v>4.6900000000000004</v>
      </c>
      <c r="E31">
        <f>AVERAGE(C31:D31)</f>
        <v>8.1549999999999994</v>
      </c>
      <c r="F31">
        <v>8.7899999999999991</v>
      </c>
      <c r="G31">
        <v>5.82</v>
      </c>
      <c r="H31">
        <f>AVERAGE(F31:G31)</f>
        <v>7.3049999999999997</v>
      </c>
      <c r="I31">
        <v>12.99</v>
      </c>
      <c r="J31">
        <v>14.64</v>
      </c>
      <c r="K31">
        <f>AVERAGE(I31:J31)</f>
        <v>13.815000000000001</v>
      </c>
      <c r="L31">
        <v>2.3199999999999998</v>
      </c>
      <c r="M31">
        <v>4.49</v>
      </c>
      <c r="N31">
        <f>AVERAGE(L31:M31)</f>
        <v>3.4050000000000002</v>
      </c>
      <c r="O31">
        <v>0</v>
      </c>
    </row>
    <row r="32" spans="1:15" x14ac:dyDescent="0.2">
      <c r="A32" s="5">
        <v>2281</v>
      </c>
      <c r="B32" s="10"/>
      <c r="C32">
        <v>12.35</v>
      </c>
      <c r="D32">
        <v>6.65</v>
      </c>
      <c r="E32">
        <f>AVERAGE(C32:D32)</f>
        <v>9.5</v>
      </c>
      <c r="F32">
        <v>7.04</v>
      </c>
      <c r="G32">
        <v>9.93</v>
      </c>
      <c r="H32">
        <f>AVERAGE(F32:G32)</f>
        <v>8.4849999999999994</v>
      </c>
      <c r="I32">
        <v>60</v>
      </c>
      <c r="J32">
        <v>15.37</v>
      </c>
      <c r="K32">
        <f>AVERAGE(I32:J32)</f>
        <v>37.685000000000002</v>
      </c>
      <c r="L32">
        <v>5.34</v>
      </c>
      <c r="M32">
        <v>3.4</v>
      </c>
      <c r="N32">
        <f>AVERAGE(L32:M32)</f>
        <v>4.37</v>
      </c>
      <c r="O32">
        <v>1.5</v>
      </c>
    </row>
    <row r="33" spans="1:15" x14ac:dyDescent="0.2">
      <c r="A33" s="5">
        <v>2283</v>
      </c>
      <c r="B33" s="10"/>
      <c r="C33">
        <v>12.05</v>
      </c>
      <c r="D33">
        <v>5.54</v>
      </c>
      <c r="E33">
        <f>AVERAGE(C33:D33)</f>
        <v>8.7949999999999999</v>
      </c>
      <c r="F33">
        <v>7.12</v>
      </c>
      <c r="G33">
        <v>5.92</v>
      </c>
      <c r="H33">
        <f>AVERAGE(F33:G33)</f>
        <v>6.52</v>
      </c>
      <c r="I33">
        <v>3.99</v>
      </c>
      <c r="J33">
        <v>5.25</v>
      </c>
      <c r="K33">
        <f>AVERAGE(I33:J33)</f>
        <v>4.62</v>
      </c>
      <c r="L33">
        <v>2.23</v>
      </c>
      <c r="M33">
        <v>1.68</v>
      </c>
      <c r="N33">
        <f>AVERAGE(L33:M33)</f>
        <v>1.9550000000000001</v>
      </c>
      <c r="O33">
        <v>3</v>
      </c>
    </row>
    <row r="34" spans="1:15" x14ac:dyDescent="0.2">
      <c r="A34" s="8">
        <v>2284</v>
      </c>
      <c r="B34" s="10"/>
      <c r="C34">
        <v>5</v>
      </c>
      <c r="D34">
        <v>5.29</v>
      </c>
      <c r="E34">
        <f>AVERAGE(C34:D34)</f>
        <v>5.1449999999999996</v>
      </c>
      <c r="F34">
        <v>4.92</v>
      </c>
      <c r="G34">
        <v>4.28</v>
      </c>
      <c r="H34">
        <f>AVERAGE(F34:G34)</f>
        <v>4.5999999999999996</v>
      </c>
      <c r="I34">
        <v>5.85</v>
      </c>
      <c r="J34">
        <v>4.38</v>
      </c>
      <c r="K34">
        <f>AVERAGE(I34:J34)</f>
        <v>5.1150000000000002</v>
      </c>
      <c r="L34">
        <v>4.0199999999999996</v>
      </c>
      <c r="M34">
        <v>3.12</v>
      </c>
      <c r="N34">
        <f>AVERAGE(L34:M34)</f>
        <v>3.57</v>
      </c>
      <c r="O34">
        <v>0</v>
      </c>
    </row>
    <row r="35" spans="1:15" x14ac:dyDescent="0.2">
      <c r="A35" s="8">
        <v>2285</v>
      </c>
      <c r="B35" s="10"/>
      <c r="C35">
        <v>7.19</v>
      </c>
      <c r="D35">
        <v>4.24</v>
      </c>
      <c r="E35">
        <f>AVERAGE(C35:D35)</f>
        <v>5.7149999999999999</v>
      </c>
      <c r="F35">
        <v>4.72</v>
      </c>
      <c r="G35">
        <v>4.22</v>
      </c>
      <c r="H35">
        <f>AVERAGE(F35:G35)</f>
        <v>4.47</v>
      </c>
      <c r="I35">
        <v>9.98</v>
      </c>
      <c r="J35">
        <v>14.95</v>
      </c>
      <c r="K35">
        <f>AVERAGE(I35:J35)</f>
        <v>12.465</v>
      </c>
      <c r="L35">
        <v>1.4</v>
      </c>
      <c r="M35">
        <v>3.54</v>
      </c>
      <c r="N35">
        <f>AVERAGE(L35:M35)</f>
        <v>2.4699999999999998</v>
      </c>
      <c r="O35">
        <v>0</v>
      </c>
    </row>
    <row r="36" spans="1:15" x14ac:dyDescent="0.2">
      <c r="A36" s="8">
        <v>2288</v>
      </c>
      <c r="B36" s="10"/>
      <c r="C36">
        <v>8.08</v>
      </c>
      <c r="D36">
        <v>3.07</v>
      </c>
      <c r="E36">
        <f>AVERAGE(C36:D36)</f>
        <v>5.5750000000000002</v>
      </c>
      <c r="F36">
        <v>14.32</v>
      </c>
      <c r="G36">
        <v>9.2100000000000009</v>
      </c>
      <c r="H36">
        <f>AVERAGE(F36:G36)</f>
        <v>11.765000000000001</v>
      </c>
      <c r="I36">
        <v>60</v>
      </c>
      <c r="J36">
        <v>19.13</v>
      </c>
      <c r="K36">
        <f>AVERAGE(I36:J36)</f>
        <v>39.564999999999998</v>
      </c>
      <c r="L36">
        <v>4.67</v>
      </c>
      <c r="M36">
        <v>3.53</v>
      </c>
      <c r="N36">
        <f>AVERAGE(L36:M36)</f>
        <v>4.0999999999999996</v>
      </c>
      <c r="O36">
        <v>2</v>
      </c>
    </row>
    <row r="37" spans="1:15" x14ac:dyDescent="0.2">
      <c r="A37" s="5">
        <v>2312</v>
      </c>
      <c r="B37" s="10"/>
      <c r="C37">
        <v>7.09</v>
      </c>
      <c r="D37">
        <v>6.73</v>
      </c>
      <c r="E37">
        <f>AVERAGE(C37:D37)</f>
        <v>6.91</v>
      </c>
      <c r="F37">
        <v>10.5</v>
      </c>
      <c r="G37">
        <v>12.15</v>
      </c>
      <c r="H37">
        <f>AVERAGE(F37:G37)</f>
        <v>11.324999999999999</v>
      </c>
      <c r="I37">
        <v>15.54</v>
      </c>
      <c r="J37">
        <v>14.13</v>
      </c>
      <c r="K37">
        <f>AVERAGE(I37:J37)</f>
        <v>14.835000000000001</v>
      </c>
      <c r="L37">
        <v>2.1</v>
      </c>
      <c r="M37">
        <v>1.55</v>
      </c>
      <c r="N37">
        <f>AVERAGE(L37:M37)</f>
        <v>1.8250000000000002</v>
      </c>
      <c r="O37">
        <v>0</v>
      </c>
    </row>
    <row r="38" spans="1:15" x14ac:dyDescent="0.2">
      <c r="A38" s="5">
        <v>2313</v>
      </c>
      <c r="B38" s="10"/>
      <c r="C38">
        <v>4.45</v>
      </c>
      <c r="D38">
        <v>3.18</v>
      </c>
      <c r="E38">
        <f>AVERAGE(C38:D38)</f>
        <v>3.8150000000000004</v>
      </c>
      <c r="F38">
        <v>8.09</v>
      </c>
      <c r="G38">
        <v>9.34</v>
      </c>
      <c r="H38">
        <f>AVERAGE(F38:G38)</f>
        <v>8.7149999999999999</v>
      </c>
      <c r="I38">
        <v>16.04</v>
      </c>
      <c r="J38">
        <v>14.05</v>
      </c>
      <c r="K38">
        <f>AVERAGE(I38:J38)</f>
        <v>15.045</v>
      </c>
      <c r="L38">
        <v>1.7</v>
      </c>
      <c r="M38">
        <v>1.48</v>
      </c>
      <c r="N38">
        <f>AVERAGE(L38:M38)</f>
        <v>1.5899999999999999</v>
      </c>
      <c r="O38">
        <v>1</v>
      </c>
    </row>
    <row r="39" spans="1:15" x14ac:dyDescent="0.2">
      <c r="A39" s="5">
        <v>2315</v>
      </c>
      <c r="B39" s="10"/>
      <c r="C39">
        <v>7.09</v>
      </c>
      <c r="D39">
        <v>6.14</v>
      </c>
      <c r="E39">
        <f>AVERAGE(C39:D39)</f>
        <v>6.6150000000000002</v>
      </c>
      <c r="F39">
        <v>10.66</v>
      </c>
      <c r="G39">
        <v>6.39</v>
      </c>
      <c r="H39">
        <f>AVERAGE(F39:G39)</f>
        <v>8.5250000000000004</v>
      </c>
      <c r="I39">
        <v>60</v>
      </c>
      <c r="J39">
        <v>18.13</v>
      </c>
      <c r="K39">
        <f>AVERAGE(I39:J39)</f>
        <v>39.064999999999998</v>
      </c>
      <c r="L39">
        <v>1.08</v>
      </c>
      <c r="M39">
        <v>1.68</v>
      </c>
      <c r="N39">
        <f>AVERAGE(L39:M39)</f>
        <v>1.38</v>
      </c>
      <c r="O39">
        <v>0</v>
      </c>
    </row>
    <row r="44" spans="1:15" x14ac:dyDescent="0.2">
      <c r="D44" t="s">
        <v>3</v>
      </c>
    </row>
    <row r="45" spans="1:15" x14ac:dyDescent="0.2">
      <c r="D45" s="2" t="s">
        <v>20</v>
      </c>
      <c r="G45" s="2" t="s">
        <v>21</v>
      </c>
      <c r="J45" s="2" t="s">
        <v>22</v>
      </c>
    </row>
    <row r="46" spans="1:15" x14ac:dyDescent="0.2">
      <c r="D46" s="3">
        <v>1</v>
      </c>
      <c r="E46" s="3">
        <v>2</v>
      </c>
      <c r="F46" s="4" t="s">
        <v>10</v>
      </c>
      <c r="G46" s="3">
        <v>1</v>
      </c>
      <c r="H46" s="3">
        <v>2</v>
      </c>
      <c r="I46" s="4" t="s">
        <v>10</v>
      </c>
      <c r="J46" s="3"/>
    </row>
    <row r="47" spans="1:15" x14ac:dyDescent="0.2">
      <c r="B47" s="5">
        <v>2272</v>
      </c>
      <c r="C47" s="6" t="s">
        <v>18</v>
      </c>
      <c r="D47">
        <v>10</v>
      </c>
      <c r="E47">
        <v>11</v>
      </c>
      <c r="F47">
        <f>AVERAGE(D47:E47)</f>
        <v>10.5</v>
      </c>
      <c r="G47">
        <v>2</v>
      </c>
      <c r="H47">
        <v>5</v>
      </c>
      <c r="I47">
        <f>AVERAGE(G47:H47)</f>
        <v>3.5</v>
      </c>
      <c r="J47">
        <f>I47/F47</f>
        <v>0.33333333333333331</v>
      </c>
    </row>
    <row r="48" spans="1:15" x14ac:dyDescent="0.2">
      <c r="B48" s="5">
        <v>2273</v>
      </c>
      <c r="C48" s="7"/>
      <c r="D48">
        <v>11</v>
      </c>
      <c r="E48">
        <v>12</v>
      </c>
      <c r="F48">
        <f>AVERAGE(D48:E48)</f>
        <v>11.5</v>
      </c>
      <c r="G48">
        <v>2</v>
      </c>
      <c r="H48">
        <v>3</v>
      </c>
      <c r="I48">
        <f>AVERAGE(G48:H48)</f>
        <v>2.5</v>
      </c>
      <c r="J48">
        <f>I48/F48</f>
        <v>0.21739130434782608</v>
      </c>
    </row>
    <row r="49" spans="2:10" x14ac:dyDescent="0.2">
      <c r="B49" s="5">
        <v>2274</v>
      </c>
      <c r="C49" s="7"/>
      <c r="D49">
        <v>11</v>
      </c>
      <c r="E49">
        <v>10</v>
      </c>
      <c r="F49">
        <f>AVERAGE(D49:E49)</f>
        <v>10.5</v>
      </c>
      <c r="G49">
        <v>5</v>
      </c>
      <c r="H49">
        <v>2</v>
      </c>
      <c r="I49">
        <f>AVERAGE(G49:H49)</f>
        <v>3.5</v>
      </c>
      <c r="J49">
        <f>I49/F49</f>
        <v>0.33333333333333331</v>
      </c>
    </row>
    <row r="50" spans="2:10" x14ac:dyDescent="0.2">
      <c r="B50" s="5">
        <v>2270</v>
      </c>
      <c r="C50" s="7"/>
      <c r="D50">
        <v>11</v>
      </c>
      <c r="E50">
        <v>11</v>
      </c>
      <c r="F50">
        <f>AVERAGE(D50:E50)</f>
        <v>11</v>
      </c>
      <c r="G50">
        <v>4</v>
      </c>
      <c r="H50">
        <v>3</v>
      </c>
      <c r="I50">
        <f>AVERAGE(G50:H50)</f>
        <v>3.5</v>
      </c>
      <c r="J50">
        <f>I50/F50</f>
        <v>0.31818181818181818</v>
      </c>
    </row>
    <row r="51" spans="2:10" x14ac:dyDescent="0.2">
      <c r="B51" s="8">
        <v>2301</v>
      </c>
      <c r="C51" s="7"/>
      <c r="D51">
        <v>11</v>
      </c>
      <c r="E51">
        <v>10</v>
      </c>
      <c r="F51">
        <f>AVERAGE(D51:E51)</f>
        <v>10.5</v>
      </c>
      <c r="G51">
        <v>1</v>
      </c>
      <c r="H51">
        <v>2</v>
      </c>
      <c r="I51">
        <f>AVERAGE(G51:H51)</f>
        <v>1.5</v>
      </c>
      <c r="J51">
        <f>I51/F51</f>
        <v>0.14285714285714285</v>
      </c>
    </row>
    <row r="52" spans="2:10" x14ac:dyDescent="0.2">
      <c r="B52" s="8">
        <v>2302</v>
      </c>
      <c r="C52" s="7"/>
      <c r="D52">
        <v>11</v>
      </c>
      <c r="E52">
        <v>10</v>
      </c>
      <c r="F52">
        <f>AVERAGE(D52:E52)</f>
        <v>10.5</v>
      </c>
      <c r="G52">
        <v>2</v>
      </c>
      <c r="H52">
        <v>3</v>
      </c>
      <c r="I52">
        <f>AVERAGE(G52:H52)</f>
        <v>2.5</v>
      </c>
      <c r="J52">
        <f>I52/F52</f>
        <v>0.23809523809523808</v>
      </c>
    </row>
    <row r="53" spans="2:10" x14ac:dyDescent="0.2">
      <c r="B53" s="8">
        <v>2303</v>
      </c>
      <c r="C53" s="7"/>
      <c r="D53">
        <v>10</v>
      </c>
      <c r="E53">
        <v>10</v>
      </c>
      <c r="F53">
        <f>AVERAGE(D53:E53)</f>
        <v>10</v>
      </c>
      <c r="G53">
        <v>2</v>
      </c>
      <c r="H53">
        <v>3</v>
      </c>
      <c r="I53">
        <f>AVERAGE(G53:H53)</f>
        <v>2.5</v>
      </c>
      <c r="J53">
        <f>I53/F53</f>
        <v>0.25</v>
      </c>
    </row>
    <row r="54" spans="2:10" x14ac:dyDescent="0.2">
      <c r="B54" s="5">
        <v>2304</v>
      </c>
      <c r="C54" s="7"/>
      <c r="D54">
        <v>11</v>
      </c>
      <c r="E54">
        <v>12</v>
      </c>
      <c r="F54">
        <f>AVERAGE(D54:E54)</f>
        <v>11.5</v>
      </c>
      <c r="G54">
        <v>3</v>
      </c>
      <c r="H54">
        <v>2</v>
      </c>
      <c r="I54">
        <f>AVERAGE(G54:H54)</f>
        <v>2.5</v>
      </c>
      <c r="J54">
        <f>I54/F54</f>
        <v>0.21739130434782608</v>
      </c>
    </row>
    <row r="55" spans="2:10" x14ac:dyDescent="0.2">
      <c r="B55" s="5">
        <v>2306</v>
      </c>
      <c r="C55" s="7"/>
      <c r="D55">
        <v>11</v>
      </c>
      <c r="E55">
        <v>11</v>
      </c>
      <c r="F55">
        <f>AVERAGE(D55:E55)</f>
        <v>11</v>
      </c>
      <c r="G55">
        <v>4</v>
      </c>
      <c r="H55">
        <v>4</v>
      </c>
      <c r="I55">
        <f>AVERAGE(G55:H55)</f>
        <v>4</v>
      </c>
      <c r="J55">
        <f>I55/F55</f>
        <v>0.36363636363636365</v>
      </c>
    </row>
    <row r="56" spans="2:10" x14ac:dyDescent="0.2">
      <c r="B56" s="8">
        <v>2267</v>
      </c>
      <c r="C56" s="9" t="s">
        <v>19</v>
      </c>
      <c r="D56">
        <v>14</v>
      </c>
      <c r="E56">
        <v>12</v>
      </c>
      <c r="F56">
        <f>AVERAGE(D56:E56)</f>
        <v>13</v>
      </c>
      <c r="G56">
        <v>18</v>
      </c>
      <c r="H56">
        <v>13</v>
      </c>
      <c r="I56">
        <f>AVERAGE(G56:H56)</f>
        <v>15.5</v>
      </c>
      <c r="J56">
        <f>I56/F56</f>
        <v>1.1923076923076923</v>
      </c>
    </row>
    <row r="57" spans="2:10" x14ac:dyDescent="0.2">
      <c r="B57" s="8">
        <v>2268</v>
      </c>
      <c r="C57" s="9"/>
      <c r="D57">
        <v>12</v>
      </c>
      <c r="E57">
        <v>12</v>
      </c>
      <c r="F57">
        <f>AVERAGE(D57:E57)</f>
        <v>12</v>
      </c>
      <c r="G57">
        <v>10</v>
      </c>
      <c r="H57">
        <v>12</v>
      </c>
      <c r="I57">
        <f>AVERAGE(G57:H57)</f>
        <v>11</v>
      </c>
      <c r="J57">
        <f>I57/F57</f>
        <v>0.91666666666666663</v>
      </c>
    </row>
    <row r="58" spans="2:10" x14ac:dyDescent="0.2">
      <c r="B58" s="8">
        <v>2269</v>
      </c>
      <c r="C58" s="9"/>
      <c r="D58">
        <v>12</v>
      </c>
      <c r="E58">
        <v>12</v>
      </c>
      <c r="F58">
        <f>AVERAGE(D58:E58)</f>
        <v>12</v>
      </c>
      <c r="G58">
        <v>14</v>
      </c>
      <c r="H58">
        <v>10</v>
      </c>
      <c r="I58">
        <f>AVERAGE(G58:H58)</f>
        <v>12</v>
      </c>
      <c r="J58">
        <f>I58/F58</f>
        <v>1</v>
      </c>
    </row>
    <row r="59" spans="2:10" x14ac:dyDescent="0.2">
      <c r="B59" s="8">
        <v>2271</v>
      </c>
      <c r="C59" s="9"/>
      <c r="D59">
        <v>13</v>
      </c>
      <c r="E59">
        <v>12</v>
      </c>
      <c r="F59">
        <f>AVERAGE(D59:E59)</f>
        <v>12.5</v>
      </c>
      <c r="G59">
        <v>10</v>
      </c>
      <c r="H59">
        <v>9</v>
      </c>
      <c r="I59">
        <f>AVERAGE(G59:H59)</f>
        <v>9.5</v>
      </c>
      <c r="J59">
        <f>I59/F59</f>
        <v>0.76</v>
      </c>
    </row>
    <row r="60" spans="2:10" x14ac:dyDescent="0.2">
      <c r="B60" s="8">
        <v>2275</v>
      </c>
      <c r="C60" s="9"/>
      <c r="D60">
        <v>14</v>
      </c>
      <c r="E60">
        <v>12</v>
      </c>
      <c r="F60">
        <f>AVERAGE(D60:E60)</f>
        <v>13</v>
      </c>
      <c r="G60">
        <v>9</v>
      </c>
      <c r="H60">
        <v>15</v>
      </c>
      <c r="I60">
        <f>AVERAGE(G60:H60)</f>
        <v>12</v>
      </c>
      <c r="J60">
        <f>I60/F60</f>
        <v>0.92307692307692313</v>
      </c>
    </row>
    <row r="61" spans="2:10" x14ac:dyDescent="0.2">
      <c r="B61" s="5">
        <v>2289</v>
      </c>
      <c r="C61" s="9"/>
      <c r="F61" t="e">
        <f>AVERAGE(D61:E61)</f>
        <v>#DIV/0!</v>
      </c>
      <c r="I61" t="e">
        <f>AVERAGE(G61:H61)</f>
        <v>#DIV/0!</v>
      </c>
      <c r="J61" t="e">
        <f>I61/F61</f>
        <v>#DIV/0!</v>
      </c>
    </row>
    <row r="62" spans="2:10" x14ac:dyDescent="0.2">
      <c r="B62" s="5">
        <v>2290</v>
      </c>
      <c r="C62" s="9"/>
      <c r="D62">
        <v>11</v>
      </c>
      <c r="E62">
        <v>11</v>
      </c>
      <c r="F62">
        <f>AVERAGE(D62:E62)</f>
        <v>11</v>
      </c>
      <c r="G62">
        <v>15</v>
      </c>
      <c r="H62">
        <v>13</v>
      </c>
      <c r="I62">
        <f>AVERAGE(G62:H62)</f>
        <v>14</v>
      </c>
      <c r="J62">
        <f>I62/F62</f>
        <v>1.2727272727272727</v>
      </c>
    </row>
    <row r="63" spans="2:10" x14ac:dyDescent="0.2">
      <c r="B63" s="5">
        <v>2292</v>
      </c>
      <c r="C63" s="9"/>
      <c r="D63">
        <v>13</v>
      </c>
      <c r="E63">
        <v>13</v>
      </c>
      <c r="F63">
        <f>AVERAGE(D63:E63)</f>
        <v>13</v>
      </c>
      <c r="G63">
        <v>14</v>
      </c>
      <c r="H63">
        <v>10</v>
      </c>
      <c r="I63">
        <f>AVERAGE(G63:H63)</f>
        <v>12</v>
      </c>
      <c r="J63">
        <f>I63/F63</f>
        <v>0.92307692307692313</v>
      </c>
    </row>
    <row r="64" spans="2:10" x14ac:dyDescent="0.2">
      <c r="B64" s="8">
        <v>2297</v>
      </c>
      <c r="C64" s="9"/>
      <c r="D64">
        <v>11</v>
      </c>
      <c r="E64">
        <v>11</v>
      </c>
      <c r="F64">
        <f>AVERAGE(D64:E64)</f>
        <v>11</v>
      </c>
      <c r="G64">
        <v>14</v>
      </c>
      <c r="H64">
        <v>9</v>
      </c>
      <c r="I64">
        <f>AVERAGE(G64:H64)</f>
        <v>11.5</v>
      </c>
      <c r="J64">
        <f>I64/F64</f>
        <v>1.0454545454545454</v>
      </c>
    </row>
    <row r="65" spans="2:10" x14ac:dyDescent="0.2">
      <c r="B65" s="8">
        <v>2298</v>
      </c>
      <c r="C65" s="9"/>
      <c r="D65">
        <v>10</v>
      </c>
      <c r="E65">
        <v>11</v>
      </c>
      <c r="F65">
        <f>AVERAGE(D65:E65)</f>
        <v>10.5</v>
      </c>
      <c r="G65">
        <v>9</v>
      </c>
      <c r="H65">
        <v>8</v>
      </c>
      <c r="I65">
        <f>AVERAGE(G65:H65)</f>
        <v>8.5</v>
      </c>
      <c r="J65">
        <f>I65/F65</f>
        <v>0.80952380952380953</v>
      </c>
    </row>
    <row r="66" spans="2:10" x14ac:dyDescent="0.2">
      <c r="B66" s="8">
        <v>2299</v>
      </c>
      <c r="C66" s="9"/>
      <c r="D66">
        <v>12</v>
      </c>
      <c r="E66">
        <v>11</v>
      </c>
      <c r="F66">
        <f>AVERAGE(D66:E66)</f>
        <v>11.5</v>
      </c>
      <c r="G66">
        <v>10</v>
      </c>
      <c r="H66">
        <v>8</v>
      </c>
      <c r="I66">
        <f>AVERAGE(G66:H66)</f>
        <v>9</v>
      </c>
      <c r="J66">
        <f>I66/F66</f>
        <v>0.78260869565217395</v>
      </c>
    </row>
    <row r="67" spans="2:10" x14ac:dyDescent="0.2">
      <c r="B67" s="5">
        <v>2307</v>
      </c>
      <c r="C67" s="9"/>
      <c r="D67">
        <v>11</v>
      </c>
      <c r="E67">
        <v>14</v>
      </c>
      <c r="F67">
        <f>AVERAGE(D67:E67)</f>
        <v>12.5</v>
      </c>
      <c r="G67">
        <v>14</v>
      </c>
      <c r="H67">
        <v>13</v>
      </c>
      <c r="I67">
        <f>AVERAGE(G67:H67)</f>
        <v>13.5</v>
      </c>
      <c r="J67">
        <f>I67/F67</f>
        <v>1.08</v>
      </c>
    </row>
    <row r="68" spans="2:10" x14ac:dyDescent="0.2">
      <c r="B68" s="5">
        <v>2308</v>
      </c>
      <c r="C68" s="9"/>
      <c r="D68">
        <v>11</v>
      </c>
      <c r="E68">
        <v>12</v>
      </c>
      <c r="F68">
        <f>AVERAGE(D68:E68)</f>
        <v>11.5</v>
      </c>
      <c r="G68">
        <v>10</v>
      </c>
      <c r="H68">
        <v>9</v>
      </c>
      <c r="I68">
        <f>AVERAGE(G68:H68)</f>
        <v>9.5</v>
      </c>
      <c r="J68">
        <f>I68/F68</f>
        <v>0.82608695652173914</v>
      </c>
    </row>
    <row r="69" spans="2:10" x14ac:dyDescent="0.2">
      <c r="B69" s="8">
        <v>2276</v>
      </c>
      <c r="C69" s="10" t="s">
        <v>63</v>
      </c>
      <c r="D69">
        <v>10</v>
      </c>
      <c r="E69">
        <v>10</v>
      </c>
      <c r="F69">
        <f>AVERAGE(D69:E69)</f>
        <v>10</v>
      </c>
      <c r="G69">
        <v>13</v>
      </c>
      <c r="H69">
        <v>8</v>
      </c>
      <c r="I69">
        <f>AVERAGE(G69:H69)</f>
        <v>10.5</v>
      </c>
      <c r="J69">
        <f>I69/F69</f>
        <v>1.05</v>
      </c>
    </row>
    <row r="70" spans="2:10" x14ac:dyDescent="0.2">
      <c r="B70" s="8">
        <v>2277</v>
      </c>
      <c r="C70" s="10"/>
      <c r="E70">
        <v>10</v>
      </c>
      <c r="F70">
        <f>AVERAGE(D70:E70)</f>
        <v>10</v>
      </c>
      <c r="H70">
        <v>11</v>
      </c>
      <c r="I70">
        <f>AVERAGE(G70:H70)</f>
        <v>11</v>
      </c>
      <c r="J70">
        <f>I70/F70</f>
        <v>1.1000000000000001</v>
      </c>
    </row>
    <row r="71" spans="2:10" x14ac:dyDescent="0.2">
      <c r="B71" s="8">
        <v>2279</v>
      </c>
      <c r="C71" s="10"/>
      <c r="D71">
        <v>11</v>
      </c>
      <c r="E71">
        <v>11</v>
      </c>
      <c r="F71">
        <f>AVERAGE(D71:E71)</f>
        <v>11</v>
      </c>
      <c r="G71">
        <v>12</v>
      </c>
      <c r="H71">
        <v>9</v>
      </c>
      <c r="I71">
        <f>AVERAGE(G71:H71)</f>
        <v>10.5</v>
      </c>
      <c r="J71">
        <f>I71/F71</f>
        <v>0.95454545454545459</v>
      </c>
    </row>
    <row r="72" spans="2:10" x14ac:dyDescent="0.2">
      <c r="B72" s="5">
        <v>2280</v>
      </c>
      <c r="C72" s="10"/>
      <c r="D72">
        <v>11</v>
      </c>
      <c r="E72">
        <v>10</v>
      </c>
      <c r="F72">
        <f>AVERAGE(D72:E72)</f>
        <v>10.5</v>
      </c>
      <c r="G72">
        <v>8</v>
      </c>
      <c r="H72">
        <v>6</v>
      </c>
      <c r="I72">
        <f>AVERAGE(G72:H72)</f>
        <v>7</v>
      </c>
      <c r="J72">
        <f>I72/F72</f>
        <v>0.66666666666666663</v>
      </c>
    </row>
    <row r="73" spans="2:10" x14ac:dyDescent="0.2">
      <c r="B73" s="5">
        <v>2281</v>
      </c>
      <c r="C73" s="10"/>
      <c r="D73">
        <v>10</v>
      </c>
      <c r="E73">
        <v>11</v>
      </c>
      <c r="F73">
        <f>AVERAGE(D73:E73)</f>
        <v>10.5</v>
      </c>
      <c r="G73">
        <v>7</v>
      </c>
      <c r="H73">
        <v>8</v>
      </c>
      <c r="I73">
        <f>AVERAGE(G73:H73)</f>
        <v>7.5</v>
      </c>
      <c r="J73">
        <f>I73/F73</f>
        <v>0.7142857142857143</v>
      </c>
    </row>
    <row r="74" spans="2:10" x14ac:dyDescent="0.2">
      <c r="B74" s="5">
        <v>2283</v>
      </c>
      <c r="C74" s="10"/>
      <c r="D74">
        <v>10</v>
      </c>
      <c r="E74">
        <v>11</v>
      </c>
      <c r="F74">
        <f>AVERAGE(D74:E74)</f>
        <v>10.5</v>
      </c>
      <c r="G74">
        <v>7</v>
      </c>
      <c r="H74">
        <v>7</v>
      </c>
      <c r="I74">
        <f>AVERAGE(G74:H74)</f>
        <v>7</v>
      </c>
      <c r="J74">
        <f>I74/F74</f>
        <v>0.66666666666666663</v>
      </c>
    </row>
    <row r="75" spans="2:10" x14ac:dyDescent="0.2">
      <c r="B75" s="8">
        <v>2284</v>
      </c>
      <c r="C75" s="10"/>
      <c r="D75">
        <v>10</v>
      </c>
      <c r="E75">
        <v>10</v>
      </c>
      <c r="F75">
        <f>AVERAGE(D75:E75)</f>
        <v>10</v>
      </c>
      <c r="G75">
        <v>7</v>
      </c>
      <c r="H75">
        <v>9</v>
      </c>
      <c r="I75">
        <f>AVERAGE(G75:H75)</f>
        <v>8</v>
      </c>
      <c r="J75">
        <f>I75/F75</f>
        <v>0.8</v>
      </c>
    </row>
    <row r="76" spans="2:10" x14ac:dyDescent="0.2">
      <c r="B76" s="8">
        <v>2285</v>
      </c>
      <c r="C76" s="10"/>
      <c r="D76">
        <v>10</v>
      </c>
      <c r="E76">
        <v>10</v>
      </c>
      <c r="F76">
        <f>AVERAGE(D76:E76)</f>
        <v>10</v>
      </c>
      <c r="G76">
        <v>7</v>
      </c>
      <c r="H76">
        <v>7</v>
      </c>
      <c r="I76">
        <f>AVERAGE(G76:H76)</f>
        <v>7</v>
      </c>
      <c r="J76">
        <f>I76/F76</f>
        <v>0.7</v>
      </c>
    </row>
    <row r="77" spans="2:10" x14ac:dyDescent="0.2">
      <c r="B77" s="8">
        <v>2288</v>
      </c>
      <c r="C77" s="10"/>
      <c r="D77">
        <v>10</v>
      </c>
      <c r="E77">
        <v>10</v>
      </c>
      <c r="F77">
        <f>AVERAGE(D77:E77)</f>
        <v>10</v>
      </c>
      <c r="G77">
        <v>6</v>
      </c>
      <c r="H77">
        <v>5</v>
      </c>
      <c r="I77">
        <f>AVERAGE(G77:H77)</f>
        <v>5.5</v>
      </c>
      <c r="J77">
        <f>I77/F77</f>
        <v>0.55000000000000004</v>
      </c>
    </row>
    <row r="78" spans="2:10" x14ac:dyDescent="0.2">
      <c r="B78" s="5">
        <v>2312</v>
      </c>
      <c r="C78" s="10"/>
      <c r="D78">
        <v>11</v>
      </c>
      <c r="E78">
        <v>11</v>
      </c>
      <c r="F78">
        <f>AVERAGE(D78:E78)</f>
        <v>11</v>
      </c>
      <c r="G78">
        <v>8</v>
      </c>
      <c r="H78">
        <v>8</v>
      </c>
      <c r="I78">
        <f>AVERAGE(G78:H78)</f>
        <v>8</v>
      </c>
      <c r="J78">
        <f>I78/F78</f>
        <v>0.72727272727272729</v>
      </c>
    </row>
    <row r="79" spans="2:10" x14ac:dyDescent="0.2">
      <c r="B79" s="5">
        <v>2313</v>
      </c>
      <c r="C79" s="10"/>
      <c r="D79">
        <v>10</v>
      </c>
      <c r="E79">
        <v>10</v>
      </c>
      <c r="F79">
        <f>AVERAGE(D79:E79)</f>
        <v>10</v>
      </c>
      <c r="G79">
        <v>7</v>
      </c>
      <c r="H79">
        <v>8</v>
      </c>
      <c r="I79">
        <f>AVERAGE(G79:H79)</f>
        <v>7.5</v>
      </c>
      <c r="J79">
        <f>I79/F79</f>
        <v>0.75</v>
      </c>
    </row>
    <row r="80" spans="2:10" x14ac:dyDescent="0.2">
      <c r="B80" s="5">
        <v>2315</v>
      </c>
      <c r="C80" s="10"/>
      <c r="D80">
        <v>10</v>
      </c>
      <c r="E80">
        <v>10</v>
      </c>
      <c r="F80">
        <f>AVERAGE(D80:E80)</f>
        <v>10</v>
      </c>
      <c r="G80">
        <v>8</v>
      </c>
      <c r="H80">
        <v>7</v>
      </c>
      <c r="I80">
        <f>AVERAGE(G80:H80)</f>
        <v>7.5</v>
      </c>
      <c r="J80">
        <f>I80/F80</f>
        <v>0.75</v>
      </c>
    </row>
    <row r="85" spans="1:21" x14ac:dyDescent="0.2">
      <c r="A85" t="s">
        <v>36</v>
      </c>
      <c r="H85" t="s">
        <v>41</v>
      </c>
      <c r="R85" t="s">
        <v>42</v>
      </c>
    </row>
    <row r="86" spans="1:21" x14ac:dyDescent="0.2">
      <c r="A86" s="1" t="s">
        <v>66</v>
      </c>
      <c r="C86" t="s">
        <v>0</v>
      </c>
      <c r="H86" t="s">
        <v>33</v>
      </c>
      <c r="N86" t="s">
        <v>39</v>
      </c>
      <c r="R86" t="s">
        <v>40</v>
      </c>
    </row>
    <row r="87" spans="1:21" x14ac:dyDescent="0.2">
      <c r="A87" s="2" t="s">
        <v>1</v>
      </c>
      <c r="B87" s="2" t="s">
        <v>2</v>
      </c>
      <c r="C87" s="2" t="s">
        <v>8</v>
      </c>
      <c r="H87" s="2" t="s">
        <v>23</v>
      </c>
      <c r="N87" s="2" t="s">
        <v>28</v>
      </c>
      <c r="R87" s="2" t="s">
        <v>31</v>
      </c>
    </row>
    <row r="88" spans="1:21" x14ac:dyDescent="0.2">
      <c r="A88" s="1" t="s">
        <v>65</v>
      </c>
      <c r="B88" s="3"/>
      <c r="C88" s="3" t="s">
        <v>14</v>
      </c>
      <c r="D88" s="3" t="s">
        <v>15</v>
      </c>
      <c r="E88" s="3" t="s">
        <v>16</v>
      </c>
      <c r="F88" s="3" t="s">
        <v>17</v>
      </c>
      <c r="G88" s="2" t="s">
        <v>32</v>
      </c>
      <c r="H88" s="3" t="s">
        <v>24</v>
      </c>
      <c r="I88" s="3" t="s">
        <v>25</v>
      </c>
      <c r="J88" s="3" t="s">
        <v>26</v>
      </c>
      <c r="K88" s="3" t="s">
        <v>34</v>
      </c>
      <c r="L88" s="3" t="s">
        <v>35</v>
      </c>
      <c r="M88" s="8" t="s">
        <v>27</v>
      </c>
      <c r="N88" s="3" t="s">
        <v>29</v>
      </c>
      <c r="O88" s="3" t="s">
        <v>30</v>
      </c>
      <c r="P88" s="3" t="s">
        <v>43</v>
      </c>
      <c r="Q88" s="8" t="s">
        <v>44</v>
      </c>
      <c r="R88" s="3" t="s">
        <v>29</v>
      </c>
      <c r="S88" s="3" t="s">
        <v>30</v>
      </c>
      <c r="T88" s="3" t="s">
        <v>43</v>
      </c>
      <c r="U88" s="8" t="s">
        <v>45</v>
      </c>
    </row>
    <row r="89" spans="1:21" x14ac:dyDescent="0.2">
      <c r="A89" s="5">
        <v>2272</v>
      </c>
      <c r="B89" s="6" t="s">
        <v>18</v>
      </c>
      <c r="C89">
        <v>4</v>
      </c>
      <c r="F89">
        <v>6</v>
      </c>
      <c r="G89">
        <v>3.5</v>
      </c>
      <c r="H89">
        <v>1016</v>
      </c>
      <c r="I89">
        <v>1069.5</v>
      </c>
      <c r="J89">
        <v>1031</v>
      </c>
      <c r="K89">
        <f>I89-H89</f>
        <v>53.5</v>
      </c>
      <c r="L89">
        <f>J89-H89</f>
        <v>15</v>
      </c>
      <c r="M89">
        <f>(K89-L89)/K89*100</f>
        <v>71.962616822429908</v>
      </c>
      <c r="N89" s="11">
        <v>0.41319444444444442</v>
      </c>
      <c r="O89" s="11">
        <v>0.625</v>
      </c>
      <c r="P89" s="11">
        <f>O89-N89</f>
        <v>0.21180555555555558</v>
      </c>
      <c r="Q89" s="12">
        <f>P89*1440</f>
        <v>305.00000000000006</v>
      </c>
      <c r="R89" s="11">
        <v>0.49722222222222223</v>
      </c>
      <c r="S89" s="16" t="s">
        <v>64</v>
      </c>
      <c r="T89" s="16"/>
      <c r="U89" s="15"/>
    </row>
    <row r="90" spans="1:21" x14ac:dyDescent="0.2">
      <c r="A90" s="5">
        <v>2273</v>
      </c>
      <c r="B90" s="7"/>
      <c r="C90">
        <v>6</v>
      </c>
      <c r="F90">
        <v>7</v>
      </c>
      <c r="G90">
        <v>3.5</v>
      </c>
      <c r="H90">
        <v>1011.5</v>
      </c>
      <c r="I90">
        <v>1061</v>
      </c>
      <c r="J90">
        <v>1022</v>
      </c>
      <c r="K90">
        <f>I90-H90</f>
        <v>49.5</v>
      </c>
      <c r="L90">
        <f>J90-H90</f>
        <v>10.5</v>
      </c>
      <c r="M90">
        <f>(K90-L90)/K90*100</f>
        <v>78.787878787878782</v>
      </c>
      <c r="N90" s="11">
        <v>0.41319444444444442</v>
      </c>
      <c r="O90" s="11">
        <v>0.63541666666666663</v>
      </c>
      <c r="P90" s="11">
        <f>O90-N90</f>
        <v>0.22222222222222221</v>
      </c>
      <c r="Q90" s="12">
        <f>P90*1440</f>
        <v>320</v>
      </c>
      <c r="R90" s="11">
        <v>0.50069444444444444</v>
      </c>
      <c r="S90" s="11">
        <v>0.51944444444444449</v>
      </c>
      <c r="T90" s="11">
        <f>S90-R90</f>
        <v>1.8750000000000044E-2</v>
      </c>
      <c r="U90" s="12">
        <f>T90*1440</f>
        <v>27.000000000000064</v>
      </c>
    </row>
    <row r="91" spans="1:21" x14ac:dyDescent="0.2">
      <c r="A91" s="5">
        <v>2274</v>
      </c>
      <c r="B91" s="7"/>
      <c r="C91">
        <v>15</v>
      </c>
      <c r="F91">
        <v>15</v>
      </c>
      <c r="G91">
        <v>4</v>
      </c>
      <c r="H91">
        <v>1009.5</v>
      </c>
      <c r="I91">
        <v>1048</v>
      </c>
      <c r="J91">
        <v>1016.5</v>
      </c>
      <c r="K91">
        <f>I91-H91</f>
        <v>38.5</v>
      </c>
      <c r="L91">
        <f>J91-H91</f>
        <v>7</v>
      </c>
      <c r="M91">
        <f>(K91-L91)/K91*100</f>
        <v>81.818181818181827</v>
      </c>
      <c r="N91" s="11">
        <v>0.41319444444444442</v>
      </c>
      <c r="O91" s="11">
        <v>0.55208333333333337</v>
      </c>
      <c r="P91" s="11">
        <f>O91-N91</f>
        <v>0.13888888888888895</v>
      </c>
      <c r="Q91" s="12">
        <f>P91*1440</f>
        <v>200.00000000000009</v>
      </c>
      <c r="R91" s="11">
        <v>0.50208333333333333</v>
      </c>
      <c r="S91" s="11">
        <v>0.50277777777777777</v>
      </c>
      <c r="T91" s="11">
        <f>S91-R91</f>
        <v>6.9444444444444198E-4</v>
      </c>
      <c r="U91" s="12">
        <f>T91*1440</f>
        <v>0.99999999999999645</v>
      </c>
    </row>
    <row r="92" spans="1:21" x14ac:dyDescent="0.2">
      <c r="A92" s="5">
        <v>2270</v>
      </c>
      <c r="B92" s="7"/>
      <c r="C92">
        <v>3</v>
      </c>
      <c r="F92">
        <v>5</v>
      </c>
      <c r="G92">
        <v>4</v>
      </c>
      <c r="H92">
        <v>1031.5</v>
      </c>
      <c r="I92">
        <v>1082.5</v>
      </c>
      <c r="J92">
        <v>1049.5</v>
      </c>
      <c r="K92">
        <f>I92-H92</f>
        <v>51</v>
      </c>
      <c r="L92">
        <f>J92-H92</f>
        <v>18</v>
      </c>
      <c r="M92">
        <f>(K92-L92)/K92*100</f>
        <v>64.705882352941174</v>
      </c>
      <c r="N92" s="11">
        <v>0.41319444444444442</v>
      </c>
      <c r="O92" s="11">
        <v>0.60416666666666663</v>
      </c>
      <c r="P92" s="11">
        <f>O92-N92</f>
        <v>0.19097222222222221</v>
      </c>
      <c r="Q92" s="12">
        <f>P92*1440</f>
        <v>275</v>
      </c>
      <c r="R92" s="11">
        <v>0.50486111111111109</v>
      </c>
      <c r="S92" s="11">
        <v>0.50486111111111109</v>
      </c>
      <c r="T92" s="11">
        <f>S92-R92</f>
        <v>0</v>
      </c>
      <c r="U92" s="12">
        <f>T92*1440</f>
        <v>0</v>
      </c>
    </row>
    <row r="93" spans="1:21" x14ac:dyDescent="0.2">
      <c r="A93" s="8">
        <v>2301</v>
      </c>
      <c r="B93" s="7"/>
      <c r="C93">
        <v>2</v>
      </c>
      <c r="F93">
        <v>4</v>
      </c>
      <c r="G93">
        <v>3</v>
      </c>
      <c r="H93">
        <v>1000.5</v>
      </c>
      <c r="I93">
        <v>1028.5</v>
      </c>
      <c r="J93">
        <v>1015.5</v>
      </c>
      <c r="K93">
        <f>I93-H93</f>
        <v>28</v>
      </c>
      <c r="L93">
        <f>J93-H93</f>
        <v>15</v>
      </c>
      <c r="M93">
        <f>(K93-L93)/K93*100</f>
        <v>46.428571428571431</v>
      </c>
      <c r="N93" s="11">
        <v>0.41319444444444442</v>
      </c>
      <c r="O93" s="11">
        <v>0.60416666666666663</v>
      </c>
      <c r="P93" s="11">
        <v>0.33333333333333331</v>
      </c>
      <c r="Q93" s="12">
        <f>P93*1440</f>
        <v>480</v>
      </c>
      <c r="R93" s="11">
        <v>0.5083333333333333</v>
      </c>
      <c r="S93" s="11">
        <v>0.51597222222222228</v>
      </c>
      <c r="T93" s="11">
        <f>S93-R93</f>
        <v>7.6388888888889728E-3</v>
      </c>
      <c r="U93" s="12">
        <f>T93*1440</f>
        <v>11.000000000000121</v>
      </c>
    </row>
    <row r="94" spans="1:21" x14ac:dyDescent="0.2">
      <c r="A94" s="8">
        <v>2302</v>
      </c>
      <c r="B94" s="7"/>
      <c r="C94">
        <v>4</v>
      </c>
      <c r="F94">
        <v>5</v>
      </c>
      <c r="G94">
        <v>4</v>
      </c>
      <c r="H94">
        <v>999.5</v>
      </c>
      <c r="I94">
        <v>1027.5</v>
      </c>
      <c r="J94">
        <v>1003</v>
      </c>
      <c r="K94">
        <f>I94-H94</f>
        <v>28</v>
      </c>
      <c r="L94">
        <f>J94-H94</f>
        <v>3.5</v>
      </c>
      <c r="M94">
        <f>(K94-L94)/K94*100</f>
        <v>87.5</v>
      </c>
      <c r="N94" s="11">
        <v>0.41319444444444442</v>
      </c>
      <c r="O94" s="11">
        <v>0.55208333333333337</v>
      </c>
      <c r="P94" s="11">
        <f>O94-N94</f>
        <v>0.13888888888888895</v>
      </c>
      <c r="Q94" s="12">
        <f>P94*1440</f>
        <v>200.00000000000009</v>
      </c>
      <c r="R94" s="11">
        <v>0.51111111111111107</v>
      </c>
      <c r="S94" s="11">
        <v>0.51527777777777772</v>
      </c>
      <c r="T94" s="11">
        <f>S94-R94</f>
        <v>4.1666666666666519E-3</v>
      </c>
      <c r="U94" s="12">
        <f>T94*1440</f>
        <v>5.9999999999999787</v>
      </c>
    </row>
    <row r="95" spans="1:21" x14ac:dyDescent="0.2">
      <c r="A95" s="8">
        <v>2303</v>
      </c>
      <c r="B95" s="7"/>
      <c r="C95">
        <v>5</v>
      </c>
      <c r="F95">
        <v>7</v>
      </c>
      <c r="G95">
        <v>3</v>
      </c>
      <c r="H95">
        <v>1000</v>
      </c>
      <c r="I95">
        <v>1044</v>
      </c>
      <c r="J95">
        <v>1018</v>
      </c>
      <c r="K95">
        <f>I95-H95</f>
        <v>44</v>
      </c>
      <c r="L95">
        <f>J95-H95</f>
        <v>18</v>
      </c>
      <c r="M95">
        <f>(K95-L95)/K95*100</f>
        <v>59.090909090909093</v>
      </c>
      <c r="N95" s="11">
        <v>0.41319444444444442</v>
      </c>
      <c r="O95" s="11">
        <v>0.57291666666666663</v>
      </c>
      <c r="P95" s="11">
        <f>O95-N95</f>
        <v>0.15972222222222221</v>
      </c>
      <c r="Q95" s="12">
        <f>P95*1440</f>
        <v>229.99999999999997</v>
      </c>
      <c r="R95" s="11">
        <v>0.51388888888888884</v>
      </c>
      <c r="S95" s="11">
        <v>0.51458333333333328</v>
      </c>
      <c r="T95" s="11">
        <f>S95-R95</f>
        <v>6.9444444444444198E-4</v>
      </c>
      <c r="U95" s="12">
        <f>T95*1440</f>
        <v>0.99999999999999645</v>
      </c>
    </row>
    <row r="96" spans="1:21" x14ac:dyDescent="0.2">
      <c r="A96" s="5">
        <v>2304</v>
      </c>
      <c r="B96" s="7"/>
      <c r="C96">
        <v>3</v>
      </c>
      <c r="F96">
        <v>5</v>
      </c>
      <c r="G96">
        <v>4</v>
      </c>
      <c r="H96">
        <v>995</v>
      </c>
      <c r="I96">
        <v>1041</v>
      </c>
      <c r="J96">
        <v>1015</v>
      </c>
      <c r="K96">
        <f>I96-H96</f>
        <v>46</v>
      </c>
      <c r="L96">
        <f>J96-H96</f>
        <v>20</v>
      </c>
      <c r="M96">
        <f>(K96-L96)/K96*100</f>
        <v>56.521739130434781</v>
      </c>
      <c r="N96" s="11">
        <v>0.41319444444444442</v>
      </c>
      <c r="O96" s="11">
        <v>0.55208333333333337</v>
      </c>
      <c r="P96" s="11">
        <f>O96-N96</f>
        <v>0.13888888888888895</v>
      </c>
      <c r="Q96" s="12">
        <f>P96*1440</f>
        <v>200.00000000000009</v>
      </c>
      <c r="R96" s="11">
        <v>0.51597222222222228</v>
      </c>
      <c r="S96" s="11">
        <v>0.52500000000000002</v>
      </c>
      <c r="T96" s="11">
        <f>S96-R96</f>
        <v>9.0277777777777457E-3</v>
      </c>
      <c r="U96" s="12">
        <f>T96*1440</f>
        <v>12.999999999999954</v>
      </c>
    </row>
    <row r="97" spans="1:21" x14ac:dyDescent="0.2">
      <c r="A97" s="5">
        <v>2306</v>
      </c>
      <c r="B97" s="7"/>
      <c r="C97">
        <v>4</v>
      </c>
      <c r="F97">
        <v>5</v>
      </c>
      <c r="G97">
        <v>4.5</v>
      </c>
      <c r="H97">
        <v>1025.5</v>
      </c>
      <c r="I97">
        <v>1103</v>
      </c>
      <c r="J97">
        <v>1047</v>
      </c>
      <c r="K97">
        <f>I97-H97</f>
        <v>77.5</v>
      </c>
      <c r="L97">
        <f>J97-H97</f>
        <v>21.5</v>
      </c>
      <c r="M97">
        <f>(K97-L97)/K97*100</f>
        <v>72.258064516129025</v>
      </c>
      <c r="N97" s="11">
        <v>0.41319444444444442</v>
      </c>
      <c r="O97" s="11">
        <v>0.63541666666666663</v>
      </c>
      <c r="P97" s="11">
        <f>O97-N97</f>
        <v>0.22222222222222221</v>
      </c>
      <c r="Q97" s="12">
        <f>P97*1440</f>
        <v>320</v>
      </c>
      <c r="R97" s="11">
        <v>0.5180555555555556</v>
      </c>
      <c r="S97" s="11">
        <v>0.51944444444444449</v>
      </c>
      <c r="T97" s="11">
        <f>S97-R97</f>
        <v>1.388888888888884E-3</v>
      </c>
      <c r="U97" s="12">
        <f>T97*1440</f>
        <v>1.9999999999999929</v>
      </c>
    </row>
    <row r="98" spans="1:21" x14ac:dyDescent="0.2">
      <c r="A98" s="8">
        <v>2267</v>
      </c>
      <c r="B98" s="9" t="s">
        <v>19</v>
      </c>
      <c r="C98">
        <v>7</v>
      </c>
      <c r="F98">
        <v>10</v>
      </c>
      <c r="G98">
        <v>2</v>
      </c>
      <c r="H98">
        <v>1010.5</v>
      </c>
      <c r="I98">
        <v>1052</v>
      </c>
      <c r="J98">
        <v>1032</v>
      </c>
      <c r="K98">
        <f>I98-H98</f>
        <v>41.5</v>
      </c>
      <c r="L98">
        <f>J98-H98</f>
        <v>21.5</v>
      </c>
      <c r="M98">
        <f>(K98-L98)/K98*100</f>
        <v>48.192771084337352</v>
      </c>
      <c r="N98" s="11">
        <v>0.4201388888888889</v>
      </c>
      <c r="O98" s="11">
        <v>0.59375</v>
      </c>
      <c r="P98" s="11">
        <f>O98-N98</f>
        <v>0.1736111111111111</v>
      </c>
      <c r="Q98" s="12">
        <f>P98*1440</f>
        <v>250</v>
      </c>
      <c r="R98" s="11">
        <v>0.41944444444444445</v>
      </c>
      <c r="S98" s="11">
        <v>0.43472222222222223</v>
      </c>
      <c r="T98" s="11">
        <f>S98-R98</f>
        <v>1.5277777777777779E-2</v>
      </c>
      <c r="U98" s="12">
        <f>T98*1440</f>
        <v>22</v>
      </c>
    </row>
    <row r="99" spans="1:21" x14ac:dyDescent="0.2">
      <c r="A99" s="8">
        <v>2268</v>
      </c>
      <c r="B99" s="9"/>
      <c r="C99">
        <v>4</v>
      </c>
      <c r="F99">
        <v>11</v>
      </c>
      <c r="G99">
        <v>2.5</v>
      </c>
      <c r="H99">
        <v>1003.5</v>
      </c>
      <c r="I99">
        <v>1033.5</v>
      </c>
      <c r="J99">
        <v>1022.5</v>
      </c>
      <c r="K99">
        <f>I99-H99</f>
        <v>30</v>
      </c>
      <c r="L99">
        <f>J99-H99</f>
        <v>19</v>
      </c>
      <c r="M99">
        <f>(K99-L99)/K99*100</f>
        <v>36.666666666666664</v>
      </c>
      <c r="N99" s="11">
        <v>0.4201388888888889</v>
      </c>
      <c r="O99" s="11">
        <v>0.69791666666666663</v>
      </c>
      <c r="P99" s="11">
        <f>O99-N99</f>
        <v>0.27777777777777773</v>
      </c>
      <c r="Q99" s="12">
        <f>P99*1440</f>
        <v>399.99999999999994</v>
      </c>
      <c r="R99" s="11">
        <v>0.42152777777777778</v>
      </c>
      <c r="S99" s="11">
        <v>0.43055555555555558</v>
      </c>
      <c r="T99" s="11">
        <f>S99-R99</f>
        <v>9.0277777777778012E-3</v>
      </c>
      <c r="U99" s="12">
        <f>T99*1440</f>
        <v>13.000000000000034</v>
      </c>
    </row>
    <row r="100" spans="1:21" x14ac:dyDescent="0.2">
      <c r="A100" s="8">
        <v>2269</v>
      </c>
      <c r="B100" s="9"/>
      <c r="C100">
        <v>7</v>
      </c>
      <c r="F100">
        <v>7</v>
      </c>
      <c r="G100">
        <v>2</v>
      </c>
      <c r="H100">
        <v>1012</v>
      </c>
      <c r="I100">
        <v>1052.5</v>
      </c>
      <c r="J100">
        <v>1029</v>
      </c>
      <c r="K100">
        <f>I100-H100</f>
        <v>40.5</v>
      </c>
      <c r="L100">
        <f>J100-H100</f>
        <v>17</v>
      </c>
      <c r="M100">
        <f>(K100-L100)/K100*100</f>
        <v>58.024691358024697</v>
      </c>
      <c r="N100" s="11">
        <v>0.4201388888888889</v>
      </c>
      <c r="O100" s="11">
        <v>0.59375</v>
      </c>
      <c r="P100" s="11">
        <v>0.33333333333333331</v>
      </c>
      <c r="Q100" s="12">
        <f>P100*1440</f>
        <v>480</v>
      </c>
      <c r="R100" s="11">
        <v>0.4236111111111111</v>
      </c>
      <c r="S100" s="11">
        <v>0.43611111111111112</v>
      </c>
      <c r="T100" s="11">
        <f>S100-R100</f>
        <v>1.2500000000000011E-2</v>
      </c>
      <c r="U100" s="12">
        <f>T100*1440</f>
        <v>18.000000000000014</v>
      </c>
    </row>
    <row r="101" spans="1:21" x14ac:dyDescent="0.2">
      <c r="A101" s="8">
        <v>2271</v>
      </c>
      <c r="B101" s="9"/>
      <c r="C101">
        <v>3</v>
      </c>
      <c r="F101">
        <v>8</v>
      </c>
      <c r="G101">
        <v>2</v>
      </c>
      <c r="H101">
        <v>1010</v>
      </c>
      <c r="I101">
        <v>1036.5</v>
      </c>
      <c r="J101">
        <v>1027</v>
      </c>
      <c r="K101">
        <f>I101-H101</f>
        <v>26.5</v>
      </c>
      <c r="L101">
        <f>J101-H101</f>
        <v>17</v>
      </c>
      <c r="M101">
        <f>(K101-L101)/K101*100</f>
        <v>35.849056603773583</v>
      </c>
      <c r="N101" s="11">
        <v>0.4201388888888889</v>
      </c>
      <c r="O101" s="11">
        <v>0.59375</v>
      </c>
      <c r="P101" s="11">
        <v>0.33333333333333331</v>
      </c>
      <c r="Q101" s="12">
        <f>P101*1440</f>
        <v>480</v>
      </c>
      <c r="R101" s="11">
        <v>0.42708333333333331</v>
      </c>
      <c r="S101" s="11">
        <v>0.4465277777777778</v>
      </c>
      <c r="T101" s="11">
        <f>S101-R101</f>
        <v>1.9444444444444486E-2</v>
      </c>
      <c r="U101" s="12">
        <f>T101*1440</f>
        <v>28.00000000000006</v>
      </c>
    </row>
    <row r="102" spans="1:21" x14ac:dyDescent="0.2">
      <c r="A102" s="8">
        <v>2275</v>
      </c>
      <c r="B102" s="9"/>
      <c r="C102">
        <v>5</v>
      </c>
      <c r="F102">
        <v>7</v>
      </c>
      <c r="G102">
        <v>2</v>
      </c>
      <c r="H102">
        <v>1017</v>
      </c>
      <c r="I102">
        <v>1043.5</v>
      </c>
      <c r="J102">
        <v>1031.5</v>
      </c>
      <c r="K102">
        <f>I102-H102</f>
        <v>26.5</v>
      </c>
      <c r="L102">
        <f>J102-H102</f>
        <v>14.5</v>
      </c>
      <c r="M102">
        <f>(K102-L102)/K102*100</f>
        <v>45.283018867924532</v>
      </c>
      <c r="N102" s="11">
        <v>0.4201388888888889</v>
      </c>
      <c r="O102" s="11">
        <v>0.58333333333333337</v>
      </c>
      <c r="P102" s="11">
        <v>0.33333333333333331</v>
      </c>
      <c r="Q102" s="12">
        <f>P102*1440</f>
        <v>480</v>
      </c>
      <c r="R102" s="11">
        <v>0.4284722222222222</v>
      </c>
      <c r="S102" s="11" t="s">
        <v>38</v>
      </c>
      <c r="T102" s="11">
        <v>4.1666666666666664E-2</v>
      </c>
      <c r="U102" s="12">
        <f>T102*1440</f>
        <v>60</v>
      </c>
    </row>
    <row r="103" spans="1:21" x14ac:dyDescent="0.2">
      <c r="A103" s="5">
        <v>2289</v>
      </c>
      <c r="B103" s="9"/>
      <c r="C103">
        <v>0</v>
      </c>
      <c r="F103">
        <v>0</v>
      </c>
      <c r="K103">
        <f>I103-H103</f>
        <v>0</v>
      </c>
      <c r="L103">
        <f>J103-H103</f>
        <v>0</v>
      </c>
      <c r="M103" t="e">
        <f>(K103-L103)/K103*100</f>
        <v>#DIV/0!</v>
      </c>
      <c r="N103" s="11">
        <v>0.4201388888888889</v>
      </c>
      <c r="O103" s="11">
        <v>0.66666666666666663</v>
      </c>
      <c r="P103" s="11">
        <f>O104-N103</f>
        <v>0.24652777777777773</v>
      </c>
      <c r="Q103" s="12">
        <f>P103*1440</f>
        <v>354.99999999999994</v>
      </c>
      <c r="R103" s="11">
        <v>0.43194444444444446</v>
      </c>
      <c r="S103" s="11">
        <v>0.45208333333333334</v>
      </c>
      <c r="T103" s="11">
        <f>S103-R103</f>
        <v>2.0138888888888873E-2</v>
      </c>
      <c r="U103" s="12">
        <f>T103*1440</f>
        <v>28.999999999999979</v>
      </c>
    </row>
    <row r="104" spans="1:21" x14ac:dyDescent="0.2">
      <c r="A104" s="5">
        <v>2290</v>
      </c>
      <c r="B104" s="9"/>
      <c r="C104">
        <v>2</v>
      </c>
      <c r="F104">
        <v>4</v>
      </c>
      <c r="G104">
        <v>2.5</v>
      </c>
      <c r="H104">
        <v>1031.5</v>
      </c>
      <c r="I104">
        <v>1061</v>
      </c>
      <c r="J104">
        <v>1045</v>
      </c>
      <c r="K104">
        <f>I104-H104</f>
        <v>29.5</v>
      </c>
      <c r="L104">
        <f>J104-H104</f>
        <v>13.5</v>
      </c>
      <c r="M104">
        <f>(K104-L104)/K104*100</f>
        <v>54.237288135593218</v>
      </c>
      <c r="N104" s="11">
        <v>0.4201388888888889</v>
      </c>
      <c r="O104" s="11">
        <v>0.66666666666666663</v>
      </c>
      <c r="P104" s="11">
        <f>O105-N104</f>
        <v>0.1736111111111111</v>
      </c>
      <c r="Q104" s="12">
        <f>P104*1440</f>
        <v>250</v>
      </c>
      <c r="R104" s="11">
        <v>0.43472222222222223</v>
      </c>
      <c r="S104" s="11">
        <v>0.46944444444444444</v>
      </c>
      <c r="T104" s="11">
        <f>S104-R104</f>
        <v>3.472222222222221E-2</v>
      </c>
      <c r="U104" s="12">
        <f>T104*1440</f>
        <v>49.999999999999986</v>
      </c>
    </row>
    <row r="105" spans="1:21" x14ac:dyDescent="0.2">
      <c r="A105" s="5">
        <v>2292</v>
      </c>
      <c r="B105" s="9"/>
      <c r="C105">
        <v>5</v>
      </c>
      <c r="F105">
        <v>5</v>
      </c>
      <c r="G105">
        <v>3</v>
      </c>
      <c r="H105">
        <v>1032.5</v>
      </c>
      <c r="I105">
        <v>1065.5</v>
      </c>
      <c r="J105">
        <v>1050</v>
      </c>
      <c r="K105">
        <f>I105-H105</f>
        <v>33</v>
      </c>
      <c r="L105">
        <f>J105-H105</f>
        <v>17.5</v>
      </c>
      <c r="M105">
        <f>(K105-L105)/K105*100</f>
        <v>46.969696969696969</v>
      </c>
      <c r="N105" s="11">
        <v>0.4201388888888889</v>
      </c>
      <c r="O105" s="11">
        <v>0.59375</v>
      </c>
      <c r="P105" s="11">
        <f>O106-N105</f>
        <v>0.1736111111111111</v>
      </c>
      <c r="Q105" s="12">
        <f>P105*1440</f>
        <v>250</v>
      </c>
      <c r="R105" s="11">
        <v>0.43680555555555556</v>
      </c>
      <c r="S105" s="11">
        <v>0.47152777777777777</v>
      </c>
      <c r="T105" s="11">
        <f>S105-R105</f>
        <v>3.472222222222221E-2</v>
      </c>
      <c r="U105" s="12">
        <f>T105*1440</f>
        <v>49.999999999999986</v>
      </c>
    </row>
    <row r="106" spans="1:21" x14ac:dyDescent="0.2">
      <c r="A106" s="8">
        <v>2297</v>
      </c>
      <c r="B106" s="9"/>
      <c r="C106">
        <v>0</v>
      </c>
      <c r="F106">
        <v>1</v>
      </c>
      <c r="G106">
        <v>3</v>
      </c>
      <c r="H106">
        <v>1022.5</v>
      </c>
      <c r="I106">
        <v>1066.5</v>
      </c>
      <c r="J106">
        <v>1042</v>
      </c>
      <c r="K106">
        <f>I106-H106</f>
        <v>44</v>
      </c>
      <c r="L106">
        <f>J106-H106</f>
        <v>19.5</v>
      </c>
      <c r="M106">
        <f>(K106-L106)/K106*100</f>
        <v>55.68181818181818</v>
      </c>
      <c r="N106" s="11">
        <v>0.4201388888888889</v>
      </c>
      <c r="O106" s="11">
        <v>0.59375</v>
      </c>
      <c r="P106" s="11">
        <f>O107-N106</f>
        <v>0.2361111111111111</v>
      </c>
      <c r="Q106" s="12">
        <f>P106*1440</f>
        <v>340</v>
      </c>
      <c r="R106" s="11">
        <v>0.43888888888888888</v>
      </c>
      <c r="S106" s="11">
        <v>0.44930555555555557</v>
      </c>
      <c r="T106" s="11">
        <f>S106-R106</f>
        <v>1.0416666666666685E-2</v>
      </c>
      <c r="U106" s="12">
        <f>T106*1440</f>
        <v>15.000000000000027</v>
      </c>
    </row>
    <row r="107" spans="1:21" x14ac:dyDescent="0.2">
      <c r="A107" s="8">
        <v>2298</v>
      </c>
      <c r="B107" s="9"/>
      <c r="C107">
        <v>6</v>
      </c>
      <c r="F107">
        <v>6</v>
      </c>
      <c r="G107">
        <v>2.5</v>
      </c>
      <c r="H107">
        <v>992.5</v>
      </c>
      <c r="I107">
        <v>1027.5</v>
      </c>
      <c r="J107">
        <v>1012.5</v>
      </c>
      <c r="K107">
        <f>I107-H107</f>
        <v>35</v>
      </c>
      <c r="L107">
        <f>J107-H107</f>
        <v>20</v>
      </c>
      <c r="M107">
        <f>(K107-L107)/K107*100</f>
        <v>42.857142857142854</v>
      </c>
      <c r="N107" s="11">
        <v>0.4201388888888889</v>
      </c>
      <c r="O107" s="11">
        <v>0.65625</v>
      </c>
      <c r="P107" s="11">
        <f>O108-N107</f>
        <v>0.18402777777777773</v>
      </c>
      <c r="Q107" s="12">
        <f>P107*1440</f>
        <v>264.99999999999994</v>
      </c>
      <c r="R107" s="11">
        <v>0.44236111111111109</v>
      </c>
      <c r="S107" s="11">
        <v>0.45902777777777776</v>
      </c>
      <c r="T107" s="11">
        <f>S107-R107</f>
        <v>1.6666666666666663E-2</v>
      </c>
      <c r="U107" s="12">
        <f>T107*1440</f>
        <v>23.999999999999993</v>
      </c>
    </row>
    <row r="108" spans="1:21" x14ac:dyDescent="0.2">
      <c r="A108" s="8">
        <v>2299</v>
      </c>
      <c r="B108" s="9"/>
      <c r="C108">
        <v>4</v>
      </c>
      <c r="F108">
        <v>8</v>
      </c>
      <c r="G108">
        <v>2</v>
      </c>
      <c r="H108">
        <v>996</v>
      </c>
      <c r="I108">
        <v>1032</v>
      </c>
      <c r="J108">
        <v>1017</v>
      </c>
      <c r="K108">
        <f>I108-H108</f>
        <v>36</v>
      </c>
      <c r="L108">
        <f>J108-H108</f>
        <v>21</v>
      </c>
      <c r="M108">
        <f>(K108-L108)/K108*100</f>
        <v>41.666666666666671</v>
      </c>
      <c r="N108" s="11">
        <v>0.4201388888888889</v>
      </c>
      <c r="O108" s="11">
        <v>0.60416666666666663</v>
      </c>
      <c r="P108" s="11">
        <f>O109-N108</f>
        <v>0.1736111111111111</v>
      </c>
      <c r="Q108" s="12">
        <f>P108*1440</f>
        <v>250</v>
      </c>
      <c r="R108" s="11">
        <v>0.44791666666666669</v>
      </c>
      <c r="S108" s="11">
        <v>0.46180555555555558</v>
      </c>
      <c r="T108" s="11">
        <f>S108-R108</f>
        <v>1.3888888888888895E-2</v>
      </c>
      <c r="U108" s="12">
        <f>T108*1440</f>
        <v>20.000000000000007</v>
      </c>
    </row>
    <row r="109" spans="1:21" x14ac:dyDescent="0.2">
      <c r="A109" s="5">
        <v>2307</v>
      </c>
      <c r="B109" s="9"/>
      <c r="C109">
        <v>5</v>
      </c>
      <c r="F109">
        <v>7</v>
      </c>
      <c r="G109">
        <v>2.5</v>
      </c>
      <c r="H109">
        <v>999</v>
      </c>
      <c r="I109">
        <v>1041</v>
      </c>
      <c r="J109">
        <v>1016.5</v>
      </c>
      <c r="K109">
        <f>I109-H109</f>
        <v>42</v>
      </c>
      <c r="L109">
        <f>J109-H109</f>
        <v>17.5</v>
      </c>
      <c r="M109">
        <f>(K109-L109)/K109*100</f>
        <v>58.333333333333336</v>
      </c>
      <c r="N109" s="11">
        <v>0.4201388888888889</v>
      </c>
      <c r="O109" s="11">
        <v>0.59375</v>
      </c>
      <c r="P109" s="11">
        <f>O110-N109</f>
        <v>0.1736111111111111</v>
      </c>
      <c r="Q109" s="12">
        <f>P109*1440</f>
        <v>250</v>
      </c>
      <c r="R109" s="11">
        <v>0.4513888888888889</v>
      </c>
      <c r="S109" s="11">
        <v>0.4777777777777778</v>
      </c>
      <c r="T109" s="11">
        <f>S109-R109</f>
        <v>2.6388888888888906E-2</v>
      </c>
      <c r="U109" s="12">
        <f>T109*1440</f>
        <v>38.000000000000028</v>
      </c>
    </row>
    <row r="110" spans="1:21" x14ac:dyDescent="0.2">
      <c r="A110" s="5">
        <v>2308</v>
      </c>
      <c r="B110" s="9"/>
      <c r="C110">
        <v>2</v>
      </c>
      <c r="F110">
        <v>3</v>
      </c>
      <c r="G110">
        <v>3</v>
      </c>
      <c r="H110">
        <v>1022</v>
      </c>
      <c r="I110">
        <v>1039.5</v>
      </c>
      <c r="J110">
        <v>1030.5</v>
      </c>
      <c r="K110">
        <f>I110-H110</f>
        <v>17.5</v>
      </c>
      <c r="L110">
        <f>J110-H110</f>
        <v>8.5</v>
      </c>
      <c r="M110">
        <f>(K110-L110)/K110*100</f>
        <v>51.428571428571423</v>
      </c>
      <c r="N110" s="11">
        <v>0.4201388888888889</v>
      </c>
      <c r="O110" s="11">
        <v>0.59375</v>
      </c>
      <c r="P110" s="11">
        <f>O111-N110</f>
        <v>0.27777777777777773</v>
      </c>
      <c r="Q110" s="12">
        <f>P110*1440</f>
        <v>399.99999999999994</v>
      </c>
      <c r="R110" s="11">
        <v>0.45347222222222222</v>
      </c>
      <c r="S110" s="11">
        <v>0.46527777777777779</v>
      </c>
      <c r="T110" s="11">
        <f>S110-R110</f>
        <v>1.1805555555555569E-2</v>
      </c>
      <c r="U110" s="12">
        <f>T110*1440</f>
        <v>17.000000000000021</v>
      </c>
    </row>
    <row r="111" spans="1:21" x14ac:dyDescent="0.2">
      <c r="A111" s="8">
        <v>2276</v>
      </c>
      <c r="B111" s="10" t="s">
        <v>63</v>
      </c>
      <c r="C111">
        <v>2</v>
      </c>
      <c r="F111">
        <v>9</v>
      </c>
      <c r="G111">
        <v>3</v>
      </c>
      <c r="H111">
        <v>1020.5</v>
      </c>
      <c r="I111">
        <v>1140.5</v>
      </c>
      <c r="J111">
        <v>1061.5</v>
      </c>
      <c r="K111">
        <f>I111-H111</f>
        <v>120</v>
      </c>
      <c r="L111">
        <f>J111-H111</f>
        <v>41</v>
      </c>
      <c r="M111">
        <f>(K111-L111)/K111*100</f>
        <v>65.833333333333329</v>
      </c>
      <c r="N111" s="11">
        <v>0.41666666666666669</v>
      </c>
      <c r="O111" s="11">
        <v>0.69791666666666663</v>
      </c>
      <c r="P111" s="11">
        <f>O112-N111</f>
        <v>0.13541666666666669</v>
      </c>
      <c r="Q111" s="12">
        <f>P111*1440</f>
        <v>195.00000000000003</v>
      </c>
      <c r="R111" s="11">
        <v>0.46180555555555558</v>
      </c>
      <c r="S111" s="11">
        <v>0.47638888888888886</v>
      </c>
      <c r="T111" s="11">
        <f>S111-R111</f>
        <v>1.4583333333333282E-2</v>
      </c>
      <c r="U111" s="12">
        <f>T111*1440</f>
        <v>20.999999999999925</v>
      </c>
    </row>
    <row r="112" spans="1:21" x14ac:dyDescent="0.2">
      <c r="A112" s="8">
        <v>2277</v>
      </c>
      <c r="B112" s="10"/>
      <c r="C112">
        <v>4</v>
      </c>
      <c r="F112">
        <v>7</v>
      </c>
      <c r="G112">
        <v>3.5</v>
      </c>
      <c r="H112">
        <v>992.5</v>
      </c>
      <c r="I112">
        <v>1022.5</v>
      </c>
      <c r="J112">
        <v>1011</v>
      </c>
      <c r="K112">
        <f>I112-H112</f>
        <v>30</v>
      </c>
      <c r="L112">
        <f>J112-H112</f>
        <v>18.5</v>
      </c>
      <c r="M112">
        <f>(K112-L112)/K112*100</f>
        <v>38.333333333333336</v>
      </c>
      <c r="N112" s="11">
        <v>0.41666666666666669</v>
      </c>
      <c r="O112" s="11">
        <v>0.55208333333333337</v>
      </c>
      <c r="P112" s="11">
        <f>O113-N112</f>
        <v>0.17708333333333331</v>
      </c>
      <c r="Q112" s="12">
        <f>P112*1440</f>
        <v>254.99999999999997</v>
      </c>
      <c r="R112" s="11">
        <v>0.46388888888888891</v>
      </c>
      <c r="S112" s="11">
        <v>0.47986111111111113</v>
      </c>
      <c r="T112" s="11">
        <f>S112-R112</f>
        <v>1.5972222222222221E-2</v>
      </c>
      <c r="U112" s="12">
        <f>T112*1440</f>
        <v>23</v>
      </c>
    </row>
    <row r="113" spans="1:21" x14ac:dyDescent="0.2">
      <c r="A113" s="8">
        <v>2279</v>
      </c>
      <c r="B113" s="10"/>
      <c r="C113">
        <v>2</v>
      </c>
      <c r="F113">
        <v>6</v>
      </c>
      <c r="G113">
        <v>3.5</v>
      </c>
      <c r="H113">
        <v>1024.5</v>
      </c>
      <c r="I113">
        <v>1048</v>
      </c>
      <c r="J113">
        <v>1033.5</v>
      </c>
      <c r="K113">
        <f>I113-H113</f>
        <v>23.5</v>
      </c>
      <c r="L113">
        <f>J113-H113</f>
        <v>9</v>
      </c>
      <c r="M113">
        <f>(K113-L113)/K113*100</f>
        <v>61.702127659574465</v>
      </c>
      <c r="N113" s="11">
        <v>0.41666666666666669</v>
      </c>
      <c r="O113" s="11">
        <v>0.59375</v>
      </c>
      <c r="P113" s="11">
        <f>O114-N113</f>
        <v>0.21874999999999994</v>
      </c>
      <c r="Q113" s="12">
        <f>P113*1440</f>
        <v>314.99999999999994</v>
      </c>
      <c r="R113" s="11">
        <v>0.46666666666666667</v>
      </c>
      <c r="S113" s="11">
        <v>0.46736111111111112</v>
      </c>
      <c r="T113" s="11">
        <f>S113-R113</f>
        <v>6.9444444444444198E-4</v>
      </c>
      <c r="U113" s="12">
        <f>T113*1440</f>
        <v>0.99999999999999645</v>
      </c>
    </row>
    <row r="114" spans="1:21" x14ac:dyDescent="0.2">
      <c r="A114" s="5">
        <v>2280</v>
      </c>
      <c r="B114" s="10"/>
      <c r="C114">
        <v>8</v>
      </c>
      <c r="F114">
        <v>9</v>
      </c>
      <c r="G114">
        <v>3.5</v>
      </c>
      <c r="H114">
        <v>1022</v>
      </c>
      <c r="I114">
        <v>1061.5</v>
      </c>
      <c r="J114">
        <v>1037.5</v>
      </c>
      <c r="K114">
        <f>I114-H114</f>
        <v>39.5</v>
      </c>
      <c r="L114">
        <f>J114-H114</f>
        <v>15.5</v>
      </c>
      <c r="M114">
        <f>(K114-L114)/K114*100</f>
        <v>60.75949367088608</v>
      </c>
      <c r="N114" s="11">
        <v>0.41666666666666669</v>
      </c>
      <c r="O114" s="11">
        <v>0.63541666666666663</v>
      </c>
      <c r="P114" s="11">
        <f>O115-N114</f>
        <v>0.13541666666666669</v>
      </c>
      <c r="Q114" s="12">
        <f>P114*1440</f>
        <v>195.00000000000003</v>
      </c>
      <c r="R114" s="11">
        <v>0.46944444444444444</v>
      </c>
      <c r="S114" s="11">
        <v>0.46944444444444444</v>
      </c>
      <c r="T114" s="11">
        <f>S114-R114</f>
        <v>0</v>
      </c>
      <c r="U114" s="12">
        <f>T114*1440</f>
        <v>0</v>
      </c>
    </row>
    <row r="115" spans="1:21" x14ac:dyDescent="0.2">
      <c r="A115" s="5">
        <v>2281</v>
      </c>
      <c r="B115" s="10"/>
      <c r="C115">
        <v>8</v>
      </c>
      <c r="F115">
        <v>20</v>
      </c>
      <c r="G115">
        <v>4.5</v>
      </c>
      <c r="H115">
        <v>1025.5</v>
      </c>
      <c r="I115">
        <v>1096.5</v>
      </c>
      <c r="J115">
        <v>1055.5</v>
      </c>
      <c r="K115">
        <f>I115-H115</f>
        <v>71</v>
      </c>
      <c r="L115">
        <f>J115-H115</f>
        <v>30</v>
      </c>
      <c r="M115">
        <f>(K115-L115)/K115*100</f>
        <v>57.74647887323944</v>
      </c>
      <c r="N115" s="11">
        <v>0.41666666666666669</v>
      </c>
      <c r="O115" s="11">
        <v>0.55208333333333337</v>
      </c>
      <c r="P115" s="11">
        <f>O116-N115</f>
        <v>0.13541666666666669</v>
      </c>
      <c r="Q115" s="12">
        <f>P115*1440</f>
        <v>195.00000000000003</v>
      </c>
      <c r="R115" s="11">
        <v>0.47152777777777777</v>
      </c>
      <c r="S115" s="11">
        <v>0.47638888888888886</v>
      </c>
      <c r="T115" s="11">
        <f>S115-R115</f>
        <v>4.8611111111110938E-3</v>
      </c>
      <c r="U115" s="12">
        <f>T115*1440</f>
        <v>6.9999999999999751</v>
      </c>
    </row>
    <row r="116" spans="1:21" x14ac:dyDescent="0.2">
      <c r="A116" s="5">
        <v>2283</v>
      </c>
      <c r="B116" s="10"/>
      <c r="C116">
        <v>7</v>
      </c>
      <c r="F116">
        <v>9</v>
      </c>
      <c r="G116">
        <v>3.5</v>
      </c>
      <c r="H116">
        <v>999.5</v>
      </c>
      <c r="I116">
        <v>1034</v>
      </c>
      <c r="J116">
        <v>1018</v>
      </c>
      <c r="K116">
        <f>I116-H116</f>
        <v>34.5</v>
      </c>
      <c r="L116">
        <f>J116-H116</f>
        <v>18.5</v>
      </c>
      <c r="M116">
        <f>(K116-L116)/K116*100</f>
        <v>46.376811594202898</v>
      </c>
      <c r="N116" s="11">
        <v>0.41666666666666669</v>
      </c>
      <c r="O116" s="11">
        <v>0.55208333333333337</v>
      </c>
      <c r="P116" s="11">
        <f>O117-N116</f>
        <v>0.23958333333333331</v>
      </c>
      <c r="Q116" s="12">
        <f>P116*1440</f>
        <v>345</v>
      </c>
      <c r="R116" s="11">
        <v>0.47361111111111109</v>
      </c>
      <c r="S116" s="11">
        <v>0.48888888888888887</v>
      </c>
      <c r="T116" s="11">
        <f>S116-R116</f>
        <v>1.5277777777777779E-2</v>
      </c>
      <c r="U116" s="12">
        <f>T116*1440</f>
        <v>22</v>
      </c>
    </row>
    <row r="117" spans="1:21" x14ac:dyDescent="0.2">
      <c r="A117" s="8">
        <v>2284</v>
      </c>
      <c r="B117" s="10"/>
      <c r="C117">
        <v>3</v>
      </c>
      <c r="F117">
        <v>5</v>
      </c>
      <c r="G117">
        <v>4</v>
      </c>
      <c r="H117">
        <v>1016.5</v>
      </c>
      <c r="I117">
        <v>1053</v>
      </c>
      <c r="J117">
        <v>1039.5</v>
      </c>
      <c r="K117">
        <f>I117-H117</f>
        <v>36.5</v>
      </c>
      <c r="L117">
        <f>J117-H117</f>
        <v>23</v>
      </c>
      <c r="M117">
        <f>(K117-L117)/K117*100</f>
        <v>36.986301369863014</v>
      </c>
      <c r="N117" s="11">
        <v>0.41666666666666669</v>
      </c>
      <c r="O117" s="11">
        <v>0.65625</v>
      </c>
      <c r="P117" s="11">
        <f>O118-N117</f>
        <v>0.13541666666666669</v>
      </c>
      <c r="Q117" s="12">
        <f>P117*1440</f>
        <v>195.00000000000003</v>
      </c>
      <c r="R117" s="11">
        <v>0.47638888888888886</v>
      </c>
      <c r="S117" s="11">
        <v>0.47847222222222224</v>
      </c>
      <c r="T117" s="11">
        <f>S117-R117</f>
        <v>2.0833333333333814E-3</v>
      </c>
      <c r="U117" s="12">
        <f>T117*1440</f>
        <v>3.0000000000000693</v>
      </c>
    </row>
    <row r="118" spans="1:21" x14ac:dyDescent="0.2">
      <c r="A118" s="8">
        <v>2285</v>
      </c>
      <c r="B118" s="10"/>
      <c r="C118">
        <v>4</v>
      </c>
      <c r="F118">
        <v>6</v>
      </c>
      <c r="G118">
        <v>3.5</v>
      </c>
      <c r="H118">
        <v>1022</v>
      </c>
      <c r="I118">
        <v>1045</v>
      </c>
      <c r="J118">
        <v>1036</v>
      </c>
      <c r="K118">
        <f>I118-H118</f>
        <v>23</v>
      </c>
      <c r="L118">
        <f>J118-H118</f>
        <v>14</v>
      </c>
      <c r="M118">
        <f>(K118-L118)/K118*100</f>
        <v>39.130434782608695</v>
      </c>
      <c r="N118" s="11">
        <v>0.41666666666666669</v>
      </c>
      <c r="O118" s="11">
        <v>0.55208333333333337</v>
      </c>
      <c r="P118" s="11">
        <f>O119-N118</f>
        <v>0.13541666666666669</v>
      </c>
      <c r="Q118" s="12">
        <f>P118*1440</f>
        <v>195.00000000000003</v>
      </c>
      <c r="R118" s="11">
        <v>0.48194444444444445</v>
      </c>
      <c r="S118" s="11">
        <v>0.4826388888888889</v>
      </c>
      <c r="T118" s="11">
        <f>S118-R118</f>
        <v>6.9444444444444198E-4</v>
      </c>
      <c r="U118" s="12">
        <f>T118*1440</f>
        <v>0.99999999999999645</v>
      </c>
    </row>
    <row r="119" spans="1:21" x14ac:dyDescent="0.2">
      <c r="A119" s="8">
        <v>2288</v>
      </c>
      <c r="B119" s="10"/>
      <c r="C119">
        <v>10</v>
      </c>
      <c r="F119">
        <v>11</v>
      </c>
      <c r="G119">
        <v>3</v>
      </c>
      <c r="H119">
        <v>1020.5</v>
      </c>
      <c r="I119">
        <v>1082.5</v>
      </c>
      <c r="J119">
        <v>1052.5</v>
      </c>
      <c r="K119">
        <f>I119-H119</f>
        <v>62</v>
      </c>
      <c r="L119">
        <f>J119-H119</f>
        <v>32</v>
      </c>
      <c r="M119">
        <f>(K119-L119)/K119*100</f>
        <v>48.387096774193552</v>
      </c>
      <c r="N119" s="11">
        <v>0.41666666666666669</v>
      </c>
      <c r="O119" s="11">
        <v>0.55208333333333337</v>
      </c>
      <c r="P119" s="11">
        <f>O120-N119</f>
        <v>0.13541666666666669</v>
      </c>
      <c r="Q119" s="12">
        <f>P119*1440</f>
        <v>195.00000000000003</v>
      </c>
      <c r="R119" s="11">
        <v>0.47916666666666669</v>
      </c>
      <c r="S119" s="11">
        <v>0.49027777777777776</v>
      </c>
      <c r="T119" s="11">
        <f>S119-R119</f>
        <v>1.1111111111111072E-2</v>
      </c>
      <c r="U119" s="12">
        <f>T119*1440</f>
        <v>15.999999999999943</v>
      </c>
    </row>
    <row r="120" spans="1:21" x14ac:dyDescent="0.2">
      <c r="A120" s="5">
        <v>2312</v>
      </c>
      <c r="B120" s="10"/>
      <c r="C120">
        <v>4</v>
      </c>
      <c r="F120">
        <v>5</v>
      </c>
      <c r="G120">
        <v>3</v>
      </c>
      <c r="H120">
        <v>996</v>
      </c>
      <c r="I120">
        <v>1029</v>
      </c>
      <c r="J120">
        <v>1014</v>
      </c>
      <c r="K120">
        <f>I120-H120</f>
        <v>33</v>
      </c>
      <c r="L120">
        <f>J120-H120</f>
        <v>18</v>
      </c>
      <c r="M120">
        <f>(K120-L120)/K120*100</f>
        <v>45.454545454545453</v>
      </c>
      <c r="N120" s="11">
        <v>0.41666666666666669</v>
      </c>
      <c r="O120" s="11">
        <v>0.55208333333333337</v>
      </c>
      <c r="P120" s="11">
        <f>O121-N120</f>
        <v>0.23958333333333331</v>
      </c>
      <c r="Q120" s="12">
        <f>P120*1440</f>
        <v>345</v>
      </c>
      <c r="R120" s="11">
        <v>0.48472222222222222</v>
      </c>
      <c r="S120" s="11">
        <v>0.49444444444444446</v>
      </c>
      <c r="T120" s="11">
        <f>S120-R120</f>
        <v>9.7222222222222432E-3</v>
      </c>
      <c r="U120" s="12">
        <f>T120*1440</f>
        <v>14.00000000000003</v>
      </c>
    </row>
    <row r="121" spans="1:21" x14ac:dyDescent="0.2">
      <c r="A121" s="5">
        <v>2313</v>
      </c>
      <c r="B121" s="10"/>
      <c r="C121">
        <v>1</v>
      </c>
      <c r="F121">
        <v>3</v>
      </c>
      <c r="G121">
        <v>4</v>
      </c>
      <c r="H121">
        <v>1016.5</v>
      </c>
      <c r="I121">
        <v>1063</v>
      </c>
      <c r="J121">
        <v>1040.5</v>
      </c>
      <c r="K121">
        <f>I121-H121</f>
        <v>46.5</v>
      </c>
      <c r="L121">
        <f>J121-H121</f>
        <v>24</v>
      </c>
      <c r="M121">
        <f>(K121-L121)/K121*100</f>
        <v>48.387096774193552</v>
      </c>
      <c r="N121" s="11">
        <v>0.41666666666666669</v>
      </c>
      <c r="O121" s="11">
        <v>0.65625</v>
      </c>
      <c r="P121" s="11">
        <f>O122-N121</f>
        <v>0.13541666666666669</v>
      </c>
      <c r="Q121" s="12">
        <f>P121*1440</f>
        <v>195.00000000000003</v>
      </c>
      <c r="R121" s="11">
        <v>0.48680555555555555</v>
      </c>
      <c r="S121" s="11">
        <v>0.49305555555555558</v>
      </c>
      <c r="T121" s="11">
        <f>S121-R121</f>
        <v>6.2500000000000333E-3</v>
      </c>
      <c r="U121" s="12">
        <f>T121*1440</f>
        <v>9.000000000000048</v>
      </c>
    </row>
    <row r="122" spans="1:21" x14ac:dyDescent="0.2">
      <c r="A122" s="5">
        <v>2315</v>
      </c>
      <c r="B122" s="10"/>
      <c r="C122">
        <v>4</v>
      </c>
      <c r="F122">
        <v>8</v>
      </c>
      <c r="G122">
        <v>3.5</v>
      </c>
      <c r="H122">
        <v>1006.5</v>
      </c>
      <c r="I122">
        <v>1055</v>
      </c>
      <c r="J122">
        <v>1031.5</v>
      </c>
      <c r="K122">
        <f>I122-H122</f>
        <v>48.5</v>
      </c>
      <c r="L122">
        <f>J122-H122</f>
        <v>25</v>
      </c>
      <c r="M122">
        <f>(K122-L122)/K122*100</f>
        <v>48.453608247422679</v>
      </c>
      <c r="N122" s="11">
        <v>0.41666666666666669</v>
      </c>
      <c r="O122" s="11">
        <v>0.55208333333333337</v>
      </c>
      <c r="P122" s="11">
        <f>O122-N122</f>
        <v>0.13541666666666669</v>
      </c>
      <c r="Q122" s="12">
        <f>P122*1440</f>
        <v>195.00000000000003</v>
      </c>
      <c r="R122" s="11">
        <v>0.49027777777777776</v>
      </c>
      <c r="S122" s="11">
        <v>0.49166666666666664</v>
      </c>
      <c r="T122" s="11">
        <f>S122-R122</f>
        <v>1.388888888888884E-3</v>
      </c>
      <c r="U122" s="12">
        <f>T122*1440</f>
        <v>1.9999999999999929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4B3B-3EA8-5E48-AE4C-3DC553B2144F}">
  <dimension ref="A3:U122"/>
  <sheetViews>
    <sheetView topLeftCell="A13" workbookViewId="0">
      <selection activeCell="B24" sqref="B24:C34"/>
    </sheetView>
  </sheetViews>
  <sheetFormatPr baseColWidth="10" defaultRowHeight="16" x14ac:dyDescent="0.2"/>
  <sheetData>
    <row r="3" spans="1:16" x14ac:dyDescent="0.2">
      <c r="A3" s="1" t="s">
        <v>68</v>
      </c>
    </row>
    <row r="4" spans="1:16" x14ac:dyDescent="0.2">
      <c r="A4" s="2" t="s">
        <v>1</v>
      </c>
      <c r="B4" s="2" t="s">
        <v>2</v>
      </c>
      <c r="C4" s="2" t="s">
        <v>3</v>
      </c>
      <c r="F4" s="2" t="s">
        <v>4</v>
      </c>
      <c r="I4" s="2" t="s">
        <v>5</v>
      </c>
      <c r="L4" s="2" t="s">
        <v>6</v>
      </c>
      <c r="O4" s="2" t="s">
        <v>7</v>
      </c>
      <c r="P4" s="2" t="s">
        <v>37</v>
      </c>
    </row>
    <row r="5" spans="1:16" x14ac:dyDescent="0.2">
      <c r="A5" s="1" t="s">
        <v>69</v>
      </c>
      <c r="B5" s="3"/>
      <c r="C5" s="3" t="s">
        <v>9</v>
      </c>
      <c r="D5" s="3">
        <v>2</v>
      </c>
      <c r="E5" s="4" t="s">
        <v>10</v>
      </c>
      <c r="F5" s="3"/>
      <c r="G5" s="3"/>
      <c r="H5" s="4" t="s">
        <v>13</v>
      </c>
      <c r="I5" s="3">
        <v>1</v>
      </c>
      <c r="J5" s="3">
        <v>2</v>
      </c>
      <c r="K5" s="4" t="s">
        <v>10</v>
      </c>
      <c r="L5" s="3">
        <v>1</v>
      </c>
      <c r="M5" s="3">
        <v>2</v>
      </c>
      <c r="N5" s="4" t="s">
        <v>10</v>
      </c>
      <c r="O5" s="3"/>
      <c r="P5" s="3"/>
    </row>
    <row r="6" spans="1:16" x14ac:dyDescent="0.2">
      <c r="A6" s="5">
        <v>2311</v>
      </c>
      <c r="B6" s="6" t="s">
        <v>18</v>
      </c>
      <c r="C6">
        <v>5.07</v>
      </c>
      <c r="D6">
        <v>3.28</v>
      </c>
      <c r="E6">
        <f>AVERAGE(C6:D6)</f>
        <v>4.1749999999999998</v>
      </c>
      <c r="F6">
        <v>6.09</v>
      </c>
      <c r="G6">
        <v>8.57</v>
      </c>
      <c r="H6">
        <f>AVERAGE(F6:G6)</f>
        <v>7.33</v>
      </c>
      <c r="I6">
        <v>30.99</v>
      </c>
      <c r="K6">
        <f>AVERAGE(I6:J6)</f>
        <v>30.99</v>
      </c>
      <c r="L6">
        <v>2</v>
      </c>
      <c r="M6">
        <v>1.75</v>
      </c>
      <c r="N6">
        <f>AVERAGE(L6:M6)</f>
        <v>1.875</v>
      </c>
      <c r="O6">
        <v>1</v>
      </c>
    </row>
    <row r="7" spans="1:16" x14ac:dyDescent="0.2">
      <c r="A7" s="5">
        <v>2314</v>
      </c>
      <c r="B7" s="7"/>
      <c r="C7">
        <v>5.47</v>
      </c>
      <c r="D7">
        <v>4.4400000000000004</v>
      </c>
      <c r="E7">
        <f t="shared" ref="E7:E16" si="0">AVERAGE(C7:D7)</f>
        <v>4.9550000000000001</v>
      </c>
      <c r="F7">
        <v>6.42</v>
      </c>
      <c r="G7">
        <v>5.15</v>
      </c>
      <c r="H7">
        <f t="shared" ref="H7:H16" si="1">AVERAGE(F7:G7)</f>
        <v>5.7850000000000001</v>
      </c>
      <c r="I7">
        <v>60</v>
      </c>
      <c r="K7">
        <f t="shared" ref="K7:K16" si="2">AVERAGE(I7:J7)</f>
        <v>60</v>
      </c>
      <c r="L7">
        <v>2.13</v>
      </c>
      <c r="M7">
        <v>2.57</v>
      </c>
      <c r="N7">
        <f t="shared" ref="N7:N16" si="3">AVERAGE(L7:M7)</f>
        <v>2.3499999999999996</v>
      </c>
      <c r="O7">
        <v>0</v>
      </c>
    </row>
    <row r="8" spans="1:16" x14ac:dyDescent="0.2">
      <c r="A8" s="5">
        <v>2316</v>
      </c>
      <c r="B8" s="7"/>
      <c r="C8">
        <v>4.2699999999999996</v>
      </c>
      <c r="D8">
        <v>2.67</v>
      </c>
      <c r="E8">
        <f t="shared" si="0"/>
        <v>3.4699999999999998</v>
      </c>
      <c r="F8">
        <v>7.6</v>
      </c>
      <c r="G8">
        <v>5.25</v>
      </c>
      <c r="H8">
        <f t="shared" si="1"/>
        <v>6.4249999999999998</v>
      </c>
      <c r="I8">
        <v>60</v>
      </c>
      <c r="K8">
        <f t="shared" si="2"/>
        <v>60</v>
      </c>
      <c r="L8">
        <v>2.1800000000000002</v>
      </c>
      <c r="M8">
        <v>2.1</v>
      </c>
      <c r="N8">
        <f t="shared" si="3"/>
        <v>2.14</v>
      </c>
      <c r="O8">
        <v>0</v>
      </c>
    </row>
    <row r="9" spans="1:16" x14ac:dyDescent="0.2">
      <c r="A9" s="8">
        <v>2323</v>
      </c>
      <c r="B9" s="9" t="s">
        <v>19</v>
      </c>
      <c r="C9">
        <v>6.97</v>
      </c>
      <c r="D9">
        <v>6.25</v>
      </c>
      <c r="E9">
        <f t="shared" si="0"/>
        <v>6.6099999999999994</v>
      </c>
      <c r="F9">
        <v>6.46</v>
      </c>
      <c r="G9">
        <v>6.5</v>
      </c>
      <c r="H9">
        <f t="shared" si="1"/>
        <v>6.48</v>
      </c>
      <c r="I9">
        <v>6.91</v>
      </c>
      <c r="J9">
        <v>9.17</v>
      </c>
      <c r="K9">
        <f t="shared" si="2"/>
        <v>8.0399999999999991</v>
      </c>
      <c r="L9">
        <v>2.34</v>
      </c>
      <c r="M9">
        <v>4.91</v>
      </c>
      <c r="N9">
        <f t="shared" si="3"/>
        <v>3.625</v>
      </c>
      <c r="O9">
        <v>2</v>
      </c>
    </row>
    <row r="10" spans="1:16" x14ac:dyDescent="0.2">
      <c r="A10" s="8">
        <v>2324</v>
      </c>
      <c r="B10" s="9"/>
      <c r="C10">
        <v>6.68</v>
      </c>
      <c r="D10">
        <v>5.83</v>
      </c>
      <c r="E10">
        <f t="shared" si="0"/>
        <v>6.2549999999999999</v>
      </c>
      <c r="F10">
        <v>5.4</v>
      </c>
      <c r="G10">
        <v>5.07</v>
      </c>
      <c r="H10">
        <f t="shared" si="1"/>
        <v>5.2350000000000003</v>
      </c>
      <c r="I10">
        <v>6.27</v>
      </c>
      <c r="J10">
        <v>9.75</v>
      </c>
      <c r="K10">
        <f t="shared" si="2"/>
        <v>8.01</v>
      </c>
      <c r="L10">
        <v>2.36</v>
      </c>
      <c r="M10">
        <v>2.71</v>
      </c>
      <c r="N10">
        <f t="shared" si="3"/>
        <v>2.5350000000000001</v>
      </c>
      <c r="O10">
        <v>1.5</v>
      </c>
    </row>
    <row r="11" spans="1:16" x14ac:dyDescent="0.2">
      <c r="A11" s="8">
        <v>2325</v>
      </c>
      <c r="B11" s="9"/>
      <c r="C11">
        <v>19.89</v>
      </c>
      <c r="D11">
        <v>8.73</v>
      </c>
      <c r="E11">
        <f t="shared" si="0"/>
        <v>14.31</v>
      </c>
      <c r="F11">
        <v>6.84</v>
      </c>
      <c r="G11">
        <v>6.07</v>
      </c>
      <c r="H11">
        <f t="shared" si="1"/>
        <v>6.4550000000000001</v>
      </c>
      <c r="I11">
        <v>9.58</v>
      </c>
      <c r="J11">
        <v>10.98</v>
      </c>
      <c r="K11">
        <f t="shared" si="2"/>
        <v>10.280000000000001</v>
      </c>
      <c r="L11">
        <v>3.82</v>
      </c>
      <c r="M11">
        <v>3.13</v>
      </c>
      <c r="N11">
        <f t="shared" si="3"/>
        <v>3.4749999999999996</v>
      </c>
      <c r="O11">
        <v>2.5</v>
      </c>
    </row>
    <row r="12" spans="1:16" x14ac:dyDescent="0.2">
      <c r="A12" s="5">
        <v>2320</v>
      </c>
      <c r="B12" s="10" t="s">
        <v>63</v>
      </c>
      <c r="C12">
        <v>15.32</v>
      </c>
      <c r="D12">
        <v>9.4600000000000009</v>
      </c>
      <c r="E12">
        <f t="shared" si="0"/>
        <v>12.39</v>
      </c>
      <c r="F12">
        <v>16.46</v>
      </c>
      <c r="G12">
        <v>30</v>
      </c>
      <c r="H12">
        <f t="shared" si="1"/>
        <v>23.23</v>
      </c>
      <c r="I12">
        <v>15.01</v>
      </c>
      <c r="J12">
        <v>13.5</v>
      </c>
      <c r="K12">
        <f t="shared" si="2"/>
        <v>14.254999999999999</v>
      </c>
      <c r="L12">
        <v>1.2</v>
      </c>
      <c r="M12">
        <v>1.85</v>
      </c>
      <c r="N12">
        <f t="shared" si="3"/>
        <v>1.5249999999999999</v>
      </c>
      <c r="O12">
        <v>1</v>
      </c>
    </row>
    <row r="13" spans="1:16" x14ac:dyDescent="0.2">
      <c r="A13" s="5">
        <v>2321</v>
      </c>
      <c r="B13" s="10"/>
      <c r="C13">
        <v>4.7699999999999996</v>
      </c>
      <c r="D13">
        <v>3</v>
      </c>
      <c r="E13">
        <f t="shared" si="0"/>
        <v>3.8849999999999998</v>
      </c>
      <c r="F13">
        <v>9.34</v>
      </c>
      <c r="G13">
        <v>5.72</v>
      </c>
      <c r="H13">
        <f t="shared" si="1"/>
        <v>7.5299999999999994</v>
      </c>
      <c r="I13">
        <v>8.39</v>
      </c>
      <c r="J13">
        <v>20.39</v>
      </c>
      <c r="K13">
        <f t="shared" si="2"/>
        <v>14.39</v>
      </c>
      <c r="L13">
        <v>1.46</v>
      </c>
      <c r="M13">
        <v>2.17</v>
      </c>
      <c r="N13">
        <f t="shared" si="3"/>
        <v>1.8149999999999999</v>
      </c>
      <c r="O13">
        <v>1.5</v>
      </c>
    </row>
    <row r="14" spans="1:16" x14ac:dyDescent="0.2">
      <c r="A14" s="5">
        <v>2322</v>
      </c>
      <c r="B14" s="10"/>
      <c r="C14">
        <v>4.6900000000000004</v>
      </c>
      <c r="D14">
        <v>3.7</v>
      </c>
      <c r="E14">
        <f t="shared" si="0"/>
        <v>4.1950000000000003</v>
      </c>
      <c r="F14">
        <v>6.52</v>
      </c>
      <c r="G14">
        <v>5.15</v>
      </c>
      <c r="H14">
        <f t="shared" si="1"/>
        <v>5.835</v>
      </c>
      <c r="I14">
        <v>9.89</v>
      </c>
      <c r="J14">
        <v>9.1999999999999993</v>
      </c>
      <c r="K14">
        <f t="shared" si="2"/>
        <v>9.5449999999999999</v>
      </c>
      <c r="L14">
        <v>2.2200000000000002</v>
      </c>
      <c r="M14">
        <v>1.71</v>
      </c>
      <c r="N14">
        <f t="shared" si="3"/>
        <v>1.9650000000000001</v>
      </c>
      <c r="O14">
        <v>0</v>
      </c>
    </row>
    <row r="15" spans="1:16" x14ac:dyDescent="0.2">
      <c r="A15" s="8">
        <v>2317</v>
      </c>
      <c r="B15" s="10"/>
      <c r="C15">
        <v>4.67</v>
      </c>
      <c r="D15">
        <v>4.9400000000000004</v>
      </c>
      <c r="E15">
        <f t="shared" si="0"/>
        <v>4.8049999999999997</v>
      </c>
      <c r="F15">
        <v>8.08</v>
      </c>
      <c r="G15">
        <v>6.49</v>
      </c>
      <c r="H15">
        <f t="shared" si="1"/>
        <v>7.2850000000000001</v>
      </c>
      <c r="I15">
        <v>7.63</v>
      </c>
      <c r="J15">
        <v>17.93</v>
      </c>
      <c r="K15">
        <f t="shared" si="2"/>
        <v>12.78</v>
      </c>
      <c r="L15">
        <v>1.03</v>
      </c>
      <c r="M15">
        <v>1.1299999999999999</v>
      </c>
      <c r="N15">
        <f t="shared" si="3"/>
        <v>1.08</v>
      </c>
      <c r="O15">
        <v>0</v>
      </c>
    </row>
    <row r="16" spans="1:16" x14ac:dyDescent="0.2">
      <c r="A16" s="8">
        <v>2319</v>
      </c>
      <c r="B16" s="10"/>
      <c r="C16">
        <v>5.14</v>
      </c>
      <c r="D16">
        <v>4.03</v>
      </c>
      <c r="E16">
        <f t="shared" si="0"/>
        <v>4.585</v>
      </c>
      <c r="F16">
        <v>4.1900000000000004</v>
      </c>
      <c r="G16">
        <v>3.87</v>
      </c>
      <c r="H16">
        <f t="shared" si="1"/>
        <v>4.03</v>
      </c>
      <c r="I16">
        <v>9.17</v>
      </c>
      <c r="J16">
        <v>10.62</v>
      </c>
      <c r="K16">
        <f t="shared" si="2"/>
        <v>9.8949999999999996</v>
      </c>
      <c r="L16">
        <v>1.63</v>
      </c>
      <c r="M16">
        <v>1.01</v>
      </c>
      <c r="N16">
        <f t="shared" si="3"/>
        <v>1.3199999999999998</v>
      </c>
      <c r="O16">
        <v>0</v>
      </c>
    </row>
    <row r="21" spans="2:10" x14ac:dyDescent="0.2">
      <c r="D21" t="s">
        <v>3</v>
      </c>
    </row>
    <row r="22" spans="2:10" x14ac:dyDescent="0.2">
      <c r="D22" s="2" t="s">
        <v>20</v>
      </c>
      <c r="G22" s="2" t="s">
        <v>21</v>
      </c>
      <c r="J22" s="2" t="s">
        <v>22</v>
      </c>
    </row>
    <row r="23" spans="2:10" x14ac:dyDescent="0.2">
      <c r="D23" s="3">
        <v>1</v>
      </c>
      <c r="E23" s="3">
        <v>2</v>
      </c>
      <c r="F23" s="4" t="s">
        <v>10</v>
      </c>
      <c r="G23" s="3">
        <v>1</v>
      </c>
      <c r="H23" s="3">
        <v>2</v>
      </c>
      <c r="I23" s="4" t="s">
        <v>10</v>
      </c>
      <c r="J23" s="3"/>
    </row>
    <row r="24" spans="2:10" x14ac:dyDescent="0.2">
      <c r="B24" s="5">
        <v>2311</v>
      </c>
      <c r="C24" s="6" t="s">
        <v>18</v>
      </c>
      <c r="D24">
        <v>12</v>
      </c>
      <c r="E24">
        <v>11</v>
      </c>
      <c r="F24">
        <f t="shared" ref="F24:F34" si="4">AVERAGE(D24:E24)</f>
        <v>11.5</v>
      </c>
      <c r="G24">
        <v>7</v>
      </c>
      <c r="H24">
        <v>2</v>
      </c>
      <c r="I24">
        <f t="shared" ref="I24:I34" si="5">AVERAGE(G24:H24)</f>
        <v>4.5</v>
      </c>
      <c r="J24">
        <f t="shared" ref="J24:J34" si="6">I24/F24</f>
        <v>0.39130434782608697</v>
      </c>
    </row>
    <row r="25" spans="2:10" x14ac:dyDescent="0.2">
      <c r="B25" s="5">
        <v>2314</v>
      </c>
      <c r="C25" s="7"/>
      <c r="D25">
        <v>12</v>
      </c>
      <c r="E25">
        <v>11</v>
      </c>
      <c r="F25">
        <f t="shared" si="4"/>
        <v>11.5</v>
      </c>
      <c r="G25">
        <v>1</v>
      </c>
      <c r="H25">
        <v>1</v>
      </c>
      <c r="I25">
        <f t="shared" si="5"/>
        <v>1</v>
      </c>
      <c r="J25">
        <f t="shared" si="6"/>
        <v>8.6956521739130432E-2</v>
      </c>
    </row>
    <row r="26" spans="2:10" x14ac:dyDescent="0.2">
      <c r="B26" s="5">
        <v>2316</v>
      </c>
      <c r="C26" s="7"/>
      <c r="D26">
        <v>11</v>
      </c>
      <c r="E26">
        <v>10</v>
      </c>
      <c r="F26">
        <f t="shared" si="4"/>
        <v>10.5</v>
      </c>
      <c r="G26">
        <v>2</v>
      </c>
      <c r="H26">
        <v>3</v>
      </c>
      <c r="I26">
        <f t="shared" si="5"/>
        <v>2.5</v>
      </c>
      <c r="J26">
        <f t="shared" si="6"/>
        <v>0.23809523809523808</v>
      </c>
    </row>
    <row r="27" spans="2:10" x14ac:dyDescent="0.2">
      <c r="B27" s="8">
        <v>2323</v>
      </c>
      <c r="C27" s="9" t="s">
        <v>19</v>
      </c>
      <c r="D27">
        <v>12</v>
      </c>
      <c r="E27">
        <v>10</v>
      </c>
      <c r="F27">
        <f t="shared" si="4"/>
        <v>11</v>
      </c>
      <c r="G27">
        <v>9</v>
      </c>
      <c r="H27">
        <v>8</v>
      </c>
      <c r="I27">
        <f t="shared" si="5"/>
        <v>8.5</v>
      </c>
      <c r="J27">
        <f t="shared" si="6"/>
        <v>0.77272727272727271</v>
      </c>
    </row>
    <row r="28" spans="2:10" x14ac:dyDescent="0.2">
      <c r="B28" s="8">
        <v>2324</v>
      </c>
      <c r="C28" s="9"/>
      <c r="D28">
        <v>11</v>
      </c>
      <c r="E28">
        <v>9</v>
      </c>
      <c r="F28">
        <f t="shared" si="4"/>
        <v>10</v>
      </c>
      <c r="G28">
        <v>12</v>
      </c>
      <c r="H28">
        <v>8</v>
      </c>
      <c r="I28">
        <f t="shared" si="5"/>
        <v>10</v>
      </c>
      <c r="J28">
        <f t="shared" si="6"/>
        <v>1</v>
      </c>
    </row>
    <row r="29" spans="2:10" x14ac:dyDescent="0.2">
      <c r="B29" s="8">
        <v>2325</v>
      </c>
      <c r="C29" s="9"/>
      <c r="D29">
        <v>12</v>
      </c>
      <c r="E29">
        <v>10</v>
      </c>
      <c r="F29">
        <f t="shared" si="4"/>
        <v>11</v>
      </c>
      <c r="G29">
        <v>13</v>
      </c>
      <c r="H29">
        <v>9</v>
      </c>
      <c r="I29">
        <f t="shared" si="5"/>
        <v>11</v>
      </c>
      <c r="J29">
        <f t="shared" si="6"/>
        <v>1</v>
      </c>
    </row>
    <row r="30" spans="2:10" x14ac:dyDescent="0.2">
      <c r="B30" s="5">
        <v>2320</v>
      </c>
      <c r="C30" s="10" t="s">
        <v>63</v>
      </c>
      <c r="D30">
        <v>15</v>
      </c>
      <c r="E30">
        <v>14</v>
      </c>
      <c r="F30">
        <f t="shared" si="4"/>
        <v>14.5</v>
      </c>
      <c r="G30">
        <v>9</v>
      </c>
      <c r="H30">
        <v>7</v>
      </c>
      <c r="I30">
        <f t="shared" si="5"/>
        <v>8</v>
      </c>
      <c r="J30">
        <f t="shared" si="6"/>
        <v>0.55172413793103448</v>
      </c>
    </row>
    <row r="31" spans="2:10" x14ac:dyDescent="0.2">
      <c r="B31" s="5">
        <v>2321</v>
      </c>
      <c r="C31" s="10"/>
      <c r="D31">
        <v>11</v>
      </c>
      <c r="E31">
        <v>11</v>
      </c>
      <c r="F31">
        <f t="shared" si="4"/>
        <v>11</v>
      </c>
      <c r="G31">
        <v>3</v>
      </c>
      <c r="H31">
        <v>3</v>
      </c>
      <c r="I31">
        <f t="shared" si="5"/>
        <v>3</v>
      </c>
      <c r="J31">
        <f t="shared" si="6"/>
        <v>0.27272727272727271</v>
      </c>
    </row>
    <row r="32" spans="2:10" x14ac:dyDescent="0.2">
      <c r="B32" s="5">
        <v>2322</v>
      </c>
      <c r="C32" s="10"/>
      <c r="D32">
        <v>14</v>
      </c>
      <c r="E32">
        <v>12</v>
      </c>
      <c r="F32">
        <f t="shared" si="4"/>
        <v>13</v>
      </c>
      <c r="G32">
        <v>6</v>
      </c>
      <c r="H32">
        <v>8</v>
      </c>
      <c r="I32">
        <f t="shared" si="5"/>
        <v>7</v>
      </c>
      <c r="J32">
        <f t="shared" si="6"/>
        <v>0.53846153846153844</v>
      </c>
    </row>
    <row r="33" spans="1:21" x14ac:dyDescent="0.2">
      <c r="B33" s="8">
        <v>2317</v>
      </c>
      <c r="C33" s="10"/>
      <c r="D33">
        <v>14</v>
      </c>
      <c r="E33">
        <v>13</v>
      </c>
      <c r="F33">
        <f t="shared" si="4"/>
        <v>13.5</v>
      </c>
      <c r="G33">
        <v>2</v>
      </c>
      <c r="H33">
        <v>6</v>
      </c>
      <c r="I33">
        <f t="shared" si="5"/>
        <v>4</v>
      </c>
      <c r="J33">
        <f t="shared" si="6"/>
        <v>0.29629629629629628</v>
      </c>
    </row>
    <row r="34" spans="1:21" x14ac:dyDescent="0.2">
      <c r="B34" s="8">
        <v>2319</v>
      </c>
      <c r="C34" s="10"/>
      <c r="D34">
        <v>11</v>
      </c>
      <c r="E34">
        <v>13</v>
      </c>
      <c r="F34">
        <f t="shared" si="4"/>
        <v>12</v>
      </c>
      <c r="G34">
        <v>8</v>
      </c>
      <c r="H34">
        <v>5</v>
      </c>
      <c r="I34">
        <f t="shared" si="5"/>
        <v>6.5</v>
      </c>
      <c r="J34">
        <f t="shared" si="6"/>
        <v>0.54166666666666663</v>
      </c>
    </row>
    <row r="40" spans="1:21" x14ac:dyDescent="0.2">
      <c r="A40" t="s">
        <v>36</v>
      </c>
      <c r="H40" t="s">
        <v>41</v>
      </c>
      <c r="R40" t="s">
        <v>42</v>
      </c>
    </row>
    <row r="41" spans="1:21" x14ac:dyDescent="0.2">
      <c r="A41" s="1" t="s">
        <v>66</v>
      </c>
      <c r="C41" t="s">
        <v>0</v>
      </c>
      <c r="H41" t="s">
        <v>33</v>
      </c>
      <c r="N41" t="s">
        <v>39</v>
      </c>
      <c r="R41" t="s">
        <v>40</v>
      </c>
    </row>
    <row r="42" spans="1:21" x14ac:dyDescent="0.2">
      <c r="A42" s="2" t="s">
        <v>1</v>
      </c>
      <c r="B42" s="2" t="s">
        <v>2</v>
      </c>
      <c r="C42" s="2" t="s">
        <v>8</v>
      </c>
      <c r="H42" s="2" t="s">
        <v>23</v>
      </c>
      <c r="N42" s="2" t="s">
        <v>28</v>
      </c>
      <c r="R42" s="2" t="s">
        <v>31</v>
      </c>
    </row>
    <row r="43" spans="1:21" x14ac:dyDescent="0.2">
      <c r="A43" s="1" t="s">
        <v>70</v>
      </c>
      <c r="B43" s="3"/>
      <c r="C43" s="3" t="s">
        <v>14</v>
      </c>
      <c r="D43" s="3" t="s">
        <v>15</v>
      </c>
      <c r="E43" s="3" t="s">
        <v>16</v>
      </c>
      <c r="F43" s="3" t="s">
        <v>17</v>
      </c>
      <c r="G43" s="2" t="s">
        <v>32</v>
      </c>
      <c r="H43" s="3" t="s">
        <v>24</v>
      </c>
      <c r="I43" s="3" t="s">
        <v>25</v>
      </c>
      <c r="J43" s="3" t="s">
        <v>26</v>
      </c>
      <c r="K43" s="3" t="s">
        <v>34</v>
      </c>
      <c r="L43" s="3" t="s">
        <v>35</v>
      </c>
      <c r="M43" s="8" t="s">
        <v>27</v>
      </c>
      <c r="N43" s="3" t="s">
        <v>29</v>
      </c>
      <c r="O43" s="3" t="s">
        <v>30</v>
      </c>
      <c r="P43" s="3" t="s">
        <v>43</v>
      </c>
      <c r="Q43" s="8" t="s">
        <v>44</v>
      </c>
      <c r="R43" s="3" t="s">
        <v>29</v>
      </c>
      <c r="S43" s="3" t="s">
        <v>30</v>
      </c>
      <c r="T43" s="3" t="s">
        <v>43</v>
      </c>
      <c r="U43" s="8" t="s">
        <v>45</v>
      </c>
    </row>
    <row r="44" spans="1:21" x14ac:dyDescent="0.2">
      <c r="A44" s="5">
        <v>2311</v>
      </c>
      <c r="B44" s="6" t="s">
        <v>18</v>
      </c>
      <c r="C44">
        <v>6</v>
      </c>
      <c r="F44">
        <v>8</v>
      </c>
      <c r="G44">
        <v>4</v>
      </c>
      <c r="H44">
        <v>1004.5</v>
      </c>
      <c r="I44">
        <v>1115.0999999999999</v>
      </c>
      <c r="J44">
        <v>1038</v>
      </c>
      <c r="K44">
        <f>I44-H44</f>
        <v>110.59999999999991</v>
      </c>
      <c r="L44">
        <f t="shared" ref="L44:L54" si="7">J44-H44</f>
        <v>33.5</v>
      </c>
      <c r="M44">
        <f>(K44-L44)/K44*100</f>
        <v>69.710669077757657</v>
      </c>
      <c r="N44" s="11">
        <v>0.3888888888888889</v>
      </c>
      <c r="O44" s="11">
        <v>0.55208333333333337</v>
      </c>
      <c r="P44" s="11">
        <f>O44-N44</f>
        <v>0.16319444444444448</v>
      </c>
      <c r="Q44" s="12">
        <f>P44*1440</f>
        <v>235.00000000000006</v>
      </c>
      <c r="R44" s="11">
        <v>0.48402777777777778</v>
      </c>
      <c r="S44" s="11">
        <v>0.48402777777777778</v>
      </c>
      <c r="T44" s="11">
        <f>S44-R44</f>
        <v>0</v>
      </c>
      <c r="U44" s="12">
        <f>T44*1440</f>
        <v>0</v>
      </c>
    </row>
    <row r="45" spans="1:21" x14ac:dyDescent="0.2">
      <c r="A45" s="5">
        <v>2314</v>
      </c>
      <c r="B45" s="7"/>
      <c r="C45">
        <v>7</v>
      </c>
      <c r="F45">
        <v>11</v>
      </c>
      <c r="G45">
        <v>3.5</v>
      </c>
      <c r="H45">
        <v>1008</v>
      </c>
      <c r="I45">
        <v>1097</v>
      </c>
      <c r="J45">
        <v>1033</v>
      </c>
      <c r="K45">
        <f t="shared" ref="K45:K54" si="8">I45-H45</f>
        <v>89</v>
      </c>
      <c r="L45">
        <f t="shared" si="7"/>
        <v>25</v>
      </c>
      <c r="M45">
        <f t="shared" ref="M45:M54" si="9">(K45-L45)/K45*100</f>
        <v>71.910112359550567</v>
      </c>
      <c r="N45" s="11">
        <v>0.3888888888888889</v>
      </c>
      <c r="O45" s="11">
        <v>0.55208333333333337</v>
      </c>
      <c r="P45" s="11">
        <f t="shared" ref="P45:P54" si="10">O45-N45</f>
        <v>0.16319444444444448</v>
      </c>
      <c r="Q45" s="12">
        <f t="shared" ref="Q45:Q54" si="11">P45*1440</f>
        <v>235.00000000000006</v>
      </c>
      <c r="R45" s="11">
        <v>0.48749999999999999</v>
      </c>
      <c r="S45" s="11">
        <v>0.49236111111111114</v>
      </c>
      <c r="T45" s="11">
        <f t="shared" ref="T45:T54" si="12">S45-R45</f>
        <v>4.8611111111111494E-3</v>
      </c>
      <c r="U45" s="12">
        <f t="shared" ref="U45:U53" si="13">T45*1440</f>
        <v>7.0000000000000551</v>
      </c>
    </row>
    <row r="46" spans="1:21" x14ac:dyDescent="0.2">
      <c r="A46" s="5">
        <v>2316</v>
      </c>
      <c r="B46" s="7"/>
      <c r="C46">
        <v>9</v>
      </c>
      <c r="F46">
        <v>10</v>
      </c>
      <c r="G46">
        <v>3.5</v>
      </c>
      <c r="H46">
        <v>1022.5</v>
      </c>
      <c r="I46">
        <v>1070.5</v>
      </c>
      <c r="J46">
        <v>1046.5</v>
      </c>
      <c r="K46">
        <f t="shared" si="8"/>
        <v>48</v>
      </c>
      <c r="L46">
        <f t="shared" si="7"/>
        <v>24</v>
      </c>
      <c r="M46">
        <f t="shared" si="9"/>
        <v>50</v>
      </c>
      <c r="N46" s="11">
        <v>0.3888888888888889</v>
      </c>
      <c r="O46" s="11">
        <v>0.55208333333333337</v>
      </c>
      <c r="P46" s="11">
        <f t="shared" si="10"/>
        <v>0.16319444444444448</v>
      </c>
      <c r="Q46" s="12">
        <f t="shared" si="11"/>
        <v>235.00000000000006</v>
      </c>
      <c r="R46" s="11">
        <v>0.48958333333333331</v>
      </c>
      <c r="S46" s="11">
        <v>0.49027777777777776</v>
      </c>
      <c r="T46" s="11">
        <f t="shared" si="12"/>
        <v>6.9444444444444198E-4</v>
      </c>
      <c r="U46" s="12">
        <f t="shared" si="13"/>
        <v>0.99999999999999645</v>
      </c>
    </row>
    <row r="47" spans="1:21" x14ac:dyDescent="0.2">
      <c r="A47" s="8">
        <v>2323</v>
      </c>
      <c r="B47" s="9" t="s">
        <v>19</v>
      </c>
      <c r="C47">
        <v>3</v>
      </c>
      <c r="F47">
        <v>11</v>
      </c>
      <c r="G47">
        <v>2.5</v>
      </c>
      <c r="H47">
        <v>995</v>
      </c>
      <c r="I47">
        <v>1035.5</v>
      </c>
      <c r="J47">
        <v>1014.5</v>
      </c>
      <c r="K47">
        <f t="shared" si="8"/>
        <v>40.5</v>
      </c>
      <c r="L47">
        <f t="shared" si="7"/>
        <v>19.5</v>
      </c>
      <c r="M47">
        <f t="shared" si="9"/>
        <v>51.851851851851848</v>
      </c>
      <c r="N47" s="11">
        <v>0.38194444444444442</v>
      </c>
      <c r="O47" s="11">
        <v>0.58333333333333337</v>
      </c>
      <c r="P47" s="11">
        <f t="shared" si="10"/>
        <v>0.20138888888888895</v>
      </c>
      <c r="Q47" s="12">
        <f t="shared" si="11"/>
        <v>290.00000000000011</v>
      </c>
      <c r="R47" s="11">
        <v>0.46527777777777779</v>
      </c>
      <c r="S47" s="11">
        <v>0.47499999999999998</v>
      </c>
      <c r="T47" s="11">
        <f t="shared" si="12"/>
        <v>9.7222222222221877E-3</v>
      </c>
      <c r="U47" s="12">
        <f t="shared" si="13"/>
        <v>13.99999999999995</v>
      </c>
    </row>
    <row r="48" spans="1:21" x14ac:dyDescent="0.2">
      <c r="A48" s="8">
        <v>2324</v>
      </c>
      <c r="B48" s="9"/>
      <c r="C48">
        <v>8</v>
      </c>
      <c r="F48">
        <v>12</v>
      </c>
      <c r="G48">
        <v>2</v>
      </c>
      <c r="H48">
        <v>1004.5</v>
      </c>
      <c r="I48">
        <v>1036.5</v>
      </c>
      <c r="J48">
        <v>1028.5</v>
      </c>
      <c r="K48">
        <f t="shared" si="8"/>
        <v>32</v>
      </c>
      <c r="L48">
        <f t="shared" si="7"/>
        <v>24</v>
      </c>
      <c r="M48">
        <f t="shared" si="9"/>
        <v>25</v>
      </c>
      <c r="N48" s="11">
        <v>0.38194444444444442</v>
      </c>
      <c r="O48" s="11">
        <v>0.61458333333333337</v>
      </c>
      <c r="P48" s="11">
        <f t="shared" si="10"/>
        <v>0.23263888888888895</v>
      </c>
      <c r="Q48" s="12">
        <f t="shared" si="11"/>
        <v>335.00000000000011</v>
      </c>
      <c r="R48" s="11">
        <v>0.46805555555555556</v>
      </c>
      <c r="S48" s="11">
        <v>0.47986111111111113</v>
      </c>
      <c r="T48" s="11">
        <f t="shared" si="12"/>
        <v>1.1805555555555569E-2</v>
      </c>
      <c r="U48" s="12">
        <f t="shared" si="13"/>
        <v>17.000000000000021</v>
      </c>
    </row>
    <row r="49" spans="1:21" x14ac:dyDescent="0.2">
      <c r="A49" s="8">
        <v>2325</v>
      </c>
      <c r="B49" s="9"/>
      <c r="C49">
        <v>2</v>
      </c>
      <c r="F49">
        <v>5</v>
      </c>
      <c r="G49">
        <v>2</v>
      </c>
      <c r="H49">
        <v>996</v>
      </c>
      <c r="I49">
        <v>1028.5</v>
      </c>
      <c r="J49">
        <v>1022.5</v>
      </c>
      <c r="K49">
        <f t="shared" si="8"/>
        <v>32.5</v>
      </c>
      <c r="L49">
        <f t="shared" si="7"/>
        <v>26.5</v>
      </c>
      <c r="M49">
        <f t="shared" si="9"/>
        <v>18.461538461538463</v>
      </c>
      <c r="N49" s="11">
        <v>0.38194444444444442</v>
      </c>
      <c r="O49" s="11">
        <v>0.58333333333333337</v>
      </c>
      <c r="P49" s="11">
        <f t="shared" si="10"/>
        <v>0.20138888888888895</v>
      </c>
      <c r="Q49" s="12">
        <f t="shared" si="11"/>
        <v>290.00000000000011</v>
      </c>
      <c r="R49" s="11">
        <v>0.47013888888888888</v>
      </c>
      <c r="S49" s="11">
        <v>0.4826388888888889</v>
      </c>
      <c r="T49" s="11">
        <f t="shared" si="12"/>
        <v>1.2500000000000011E-2</v>
      </c>
      <c r="U49" s="12">
        <f t="shared" si="13"/>
        <v>18.000000000000014</v>
      </c>
    </row>
    <row r="50" spans="1:21" x14ac:dyDescent="0.2">
      <c r="A50" s="5">
        <v>2320</v>
      </c>
      <c r="B50" s="10" t="s">
        <v>63</v>
      </c>
      <c r="C50">
        <v>2</v>
      </c>
      <c r="F50">
        <v>3</v>
      </c>
      <c r="G50">
        <v>3.5</v>
      </c>
      <c r="H50">
        <v>1022</v>
      </c>
      <c r="I50">
        <v>1063</v>
      </c>
      <c r="J50">
        <v>1042.5</v>
      </c>
      <c r="K50">
        <f t="shared" si="8"/>
        <v>41</v>
      </c>
      <c r="L50">
        <f t="shared" si="7"/>
        <v>20.5</v>
      </c>
      <c r="M50">
        <f t="shared" si="9"/>
        <v>50</v>
      </c>
      <c r="N50" s="11">
        <v>0.38541666666666669</v>
      </c>
      <c r="O50" s="11">
        <v>0.57291666666666663</v>
      </c>
      <c r="P50" s="11">
        <f t="shared" si="10"/>
        <v>0.18749999999999994</v>
      </c>
      <c r="Q50" s="12">
        <f t="shared" si="11"/>
        <v>269.99999999999994</v>
      </c>
      <c r="R50" s="11">
        <v>0.47222222222222221</v>
      </c>
      <c r="S50" s="11">
        <v>0.47291666666666665</v>
      </c>
      <c r="T50" s="11">
        <f t="shared" si="12"/>
        <v>6.9444444444444198E-4</v>
      </c>
      <c r="U50" s="12">
        <f t="shared" si="13"/>
        <v>0.99999999999999645</v>
      </c>
    </row>
    <row r="51" spans="1:21" x14ac:dyDescent="0.2">
      <c r="A51" s="5">
        <v>2321</v>
      </c>
      <c r="B51" s="10"/>
      <c r="C51">
        <v>0</v>
      </c>
      <c r="F51">
        <v>6</v>
      </c>
      <c r="G51">
        <v>3.5</v>
      </c>
      <c r="H51">
        <v>1008</v>
      </c>
      <c r="I51">
        <v>1094</v>
      </c>
      <c r="J51">
        <v>1050</v>
      </c>
      <c r="K51">
        <f t="shared" si="8"/>
        <v>86</v>
      </c>
      <c r="L51">
        <f t="shared" si="7"/>
        <v>42</v>
      </c>
      <c r="M51">
        <f t="shared" si="9"/>
        <v>51.162790697674424</v>
      </c>
      <c r="N51" s="11">
        <v>0.38541666666666669</v>
      </c>
      <c r="O51" s="11">
        <v>0.57291666666666663</v>
      </c>
      <c r="P51" s="11">
        <f t="shared" si="10"/>
        <v>0.18749999999999994</v>
      </c>
      <c r="Q51" s="12">
        <f t="shared" si="11"/>
        <v>269.99999999999994</v>
      </c>
      <c r="R51" s="11">
        <v>0.47499999999999998</v>
      </c>
      <c r="S51" s="11">
        <v>0.48333333333333334</v>
      </c>
      <c r="T51" s="11">
        <f t="shared" si="12"/>
        <v>8.3333333333333592E-3</v>
      </c>
      <c r="U51" s="12">
        <f t="shared" si="13"/>
        <v>12.000000000000037</v>
      </c>
    </row>
    <row r="52" spans="1:21" x14ac:dyDescent="0.2">
      <c r="A52" s="5">
        <v>2322</v>
      </c>
      <c r="B52" s="10"/>
      <c r="C52">
        <v>8</v>
      </c>
      <c r="F52">
        <v>9</v>
      </c>
      <c r="G52">
        <v>3.5</v>
      </c>
      <c r="H52">
        <v>996.5</v>
      </c>
      <c r="I52">
        <v>1056</v>
      </c>
      <c r="J52">
        <v>1030.5</v>
      </c>
      <c r="K52">
        <f t="shared" si="8"/>
        <v>59.5</v>
      </c>
      <c r="L52">
        <f t="shared" si="7"/>
        <v>34</v>
      </c>
      <c r="M52">
        <f t="shared" si="9"/>
        <v>42.857142857142854</v>
      </c>
      <c r="N52" s="11">
        <v>0.38541666666666669</v>
      </c>
      <c r="O52" s="11">
        <v>0.59375</v>
      </c>
      <c r="P52" s="11">
        <f t="shared" si="10"/>
        <v>0.20833333333333331</v>
      </c>
      <c r="Q52" s="12">
        <f t="shared" si="11"/>
        <v>300</v>
      </c>
      <c r="R52" s="11">
        <v>0.47708333333333336</v>
      </c>
      <c r="S52" s="11">
        <v>0.49236111111111114</v>
      </c>
      <c r="T52" s="11">
        <f t="shared" si="12"/>
        <v>1.5277777777777779E-2</v>
      </c>
      <c r="U52" s="12">
        <f t="shared" si="13"/>
        <v>22</v>
      </c>
    </row>
    <row r="53" spans="1:21" x14ac:dyDescent="0.2">
      <c r="A53" s="8">
        <v>2317</v>
      </c>
      <c r="B53" s="10"/>
      <c r="C53">
        <v>4</v>
      </c>
      <c r="F53">
        <v>12</v>
      </c>
      <c r="G53">
        <v>3.5</v>
      </c>
      <c r="H53">
        <v>1024</v>
      </c>
      <c r="I53">
        <v>1066</v>
      </c>
      <c r="J53">
        <v>1037</v>
      </c>
      <c r="K53">
        <f t="shared" si="8"/>
        <v>42</v>
      </c>
      <c r="L53">
        <f t="shared" si="7"/>
        <v>13</v>
      </c>
      <c r="M53">
        <f t="shared" si="9"/>
        <v>69.047619047619051</v>
      </c>
      <c r="N53" s="11">
        <v>0.38541666666666669</v>
      </c>
      <c r="O53" s="11">
        <v>0.54166666666666663</v>
      </c>
      <c r="P53" s="11">
        <f t="shared" si="10"/>
        <v>0.15624999999999994</v>
      </c>
      <c r="Q53" s="12">
        <f t="shared" si="11"/>
        <v>224.99999999999991</v>
      </c>
      <c r="R53" s="11">
        <v>0.47916666666666669</v>
      </c>
      <c r="S53" s="11">
        <v>0.48194444444444445</v>
      </c>
      <c r="T53" s="11">
        <f t="shared" si="12"/>
        <v>2.7777777777777679E-3</v>
      </c>
      <c r="U53" s="12">
        <f t="shared" si="13"/>
        <v>3.9999999999999858</v>
      </c>
    </row>
    <row r="54" spans="1:21" x14ac:dyDescent="0.2">
      <c r="A54" s="8">
        <v>2319</v>
      </c>
      <c r="B54" s="10"/>
      <c r="C54">
        <v>9</v>
      </c>
      <c r="F54">
        <v>14</v>
      </c>
      <c r="G54">
        <v>3.5</v>
      </c>
      <c r="H54">
        <v>1000.5</v>
      </c>
      <c r="I54">
        <v>1033.5</v>
      </c>
      <c r="J54">
        <v>1012.5</v>
      </c>
      <c r="K54">
        <f t="shared" si="8"/>
        <v>33</v>
      </c>
      <c r="L54">
        <f t="shared" si="7"/>
        <v>12</v>
      </c>
      <c r="M54">
        <f t="shared" si="9"/>
        <v>63.636363636363633</v>
      </c>
      <c r="N54" s="11">
        <v>0.38541666666666669</v>
      </c>
      <c r="O54" s="11">
        <v>0.54166666666666663</v>
      </c>
      <c r="P54" s="11">
        <f t="shared" si="10"/>
        <v>0.15624999999999994</v>
      </c>
      <c r="Q54" s="12">
        <f t="shared" si="11"/>
        <v>224.99999999999991</v>
      </c>
      <c r="R54" s="11">
        <v>0.48125000000000001</v>
      </c>
      <c r="S54" s="11">
        <v>0.48125000000000001</v>
      </c>
      <c r="T54" s="11">
        <f t="shared" si="12"/>
        <v>0</v>
      </c>
      <c r="U54" s="12">
        <f>T54*1440</f>
        <v>0</v>
      </c>
    </row>
    <row r="55" spans="1:21" x14ac:dyDescent="0.2">
      <c r="N55" s="11"/>
      <c r="O55" s="11"/>
      <c r="P55" s="11"/>
      <c r="Q55" s="12"/>
      <c r="R55" s="11"/>
      <c r="S55" s="11"/>
      <c r="T55" s="11"/>
      <c r="U55" s="12"/>
    </row>
    <row r="56" spans="1:21" x14ac:dyDescent="0.2">
      <c r="N56" s="11"/>
      <c r="O56" s="11"/>
      <c r="P56" s="11"/>
      <c r="Q56" s="12"/>
      <c r="R56" s="11"/>
      <c r="S56" s="11"/>
      <c r="T56" s="11"/>
      <c r="U56" s="12"/>
    </row>
    <row r="57" spans="1:21" x14ac:dyDescent="0.2">
      <c r="N57" s="11"/>
      <c r="O57" s="11"/>
      <c r="P57" s="11"/>
      <c r="Q57" s="12"/>
      <c r="R57" s="11"/>
      <c r="S57" s="11"/>
      <c r="T57" s="11"/>
      <c r="U57" s="12"/>
    </row>
    <row r="103" spans="14:21" x14ac:dyDescent="0.2">
      <c r="N103" s="11"/>
      <c r="O103" s="11"/>
      <c r="P103" s="11"/>
      <c r="Q103" s="12"/>
      <c r="R103" s="11"/>
      <c r="S103" s="11"/>
      <c r="T103" s="11"/>
      <c r="U103" s="12"/>
    </row>
    <row r="104" spans="14:21" x14ac:dyDescent="0.2">
      <c r="N104" s="11"/>
      <c r="O104" s="11"/>
      <c r="P104" s="11"/>
      <c r="Q104" s="12"/>
      <c r="R104" s="11"/>
      <c r="S104" s="11"/>
      <c r="T104" s="11"/>
      <c r="U104" s="12"/>
    </row>
    <row r="105" spans="14:21" x14ac:dyDescent="0.2">
      <c r="N105" s="11"/>
      <c r="O105" s="11"/>
      <c r="P105" s="11"/>
      <c r="Q105" s="12"/>
      <c r="R105" s="11"/>
      <c r="S105" s="11"/>
      <c r="T105" s="11"/>
      <c r="U105" s="12"/>
    </row>
    <row r="106" spans="14:21" x14ac:dyDescent="0.2">
      <c r="N106" s="11"/>
      <c r="O106" s="11"/>
      <c r="P106" s="11"/>
      <c r="Q106" s="12"/>
      <c r="R106" s="11"/>
      <c r="S106" s="11"/>
      <c r="T106" s="11"/>
      <c r="U106" s="12"/>
    </row>
    <row r="107" spans="14:21" x14ac:dyDescent="0.2">
      <c r="N107" s="11"/>
      <c r="O107" s="11"/>
      <c r="P107" s="11"/>
      <c r="Q107" s="12"/>
      <c r="R107" s="11"/>
      <c r="S107" s="11"/>
      <c r="T107" s="11"/>
      <c r="U107" s="12"/>
    </row>
    <row r="108" spans="14:21" x14ac:dyDescent="0.2">
      <c r="N108" s="11"/>
      <c r="O108" s="11"/>
      <c r="P108" s="11"/>
      <c r="Q108" s="12"/>
      <c r="R108" s="11"/>
      <c r="S108" s="11"/>
      <c r="T108" s="11"/>
      <c r="U108" s="12"/>
    </row>
    <row r="109" spans="14:21" x14ac:dyDescent="0.2">
      <c r="N109" s="11"/>
      <c r="O109" s="11"/>
      <c r="P109" s="11"/>
      <c r="Q109" s="12"/>
      <c r="R109" s="11"/>
      <c r="S109" s="11"/>
      <c r="T109" s="11"/>
      <c r="U109" s="12"/>
    </row>
    <row r="110" spans="14:21" x14ac:dyDescent="0.2">
      <c r="N110" s="11"/>
      <c r="O110" s="11"/>
      <c r="P110" s="11"/>
      <c r="Q110" s="12"/>
      <c r="R110" s="11"/>
      <c r="S110" s="11"/>
      <c r="T110" s="11"/>
      <c r="U110" s="12"/>
    </row>
    <row r="111" spans="14:21" x14ac:dyDescent="0.2">
      <c r="N111" s="11"/>
      <c r="O111" s="11"/>
      <c r="P111" s="11"/>
      <c r="Q111" s="12"/>
      <c r="R111" s="11"/>
      <c r="S111" s="11"/>
      <c r="T111" s="11"/>
      <c r="U111" s="12"/>
    </row>
    <row r="112" spans="14:21" x14ac:dyDescent="0.2">
      <c r="N112" s="11"/>
      <c r="O112" s="11"/>
      <c r="P112" s="11"/>
      <c r="Q112" s="12"/>
      <c r="R112" s="11"/>
      <c r="S112" s="11"/>
      <c r="T112" s="11"/>
      <c r="U112" s="12"/>
    </row>
    <row r="113" spans="14:21" x14ac:dyDescent="0.2">
      <c r="N113" s="11"/>
      <c r="O113" s="11"/>
      <c r="P113" s="11"/>
      <c r="Q113" s="12"/>
      <c r="R113" s="11"/>
      <c r="S113" s="11"/>
      <c r="T113" s="11"/>
      <c r="U113" s="12"/>
    </row>
    <row r="114" spans="14:21" x14ac:dyDescent="0.2">
      <c r="N114" s="11"/>
      <c r="O114" s="11"/>
      <c r="P114" s="11"/>
      <c r="Q114" s="12"/>
      <c r="R114" s="11"/>
      <c r="S114" s="11"/>
      <c r="T114" s="11"/>
      <c r="U114" s="12"/>
    </row>
    <row r="115" spans="14:21" x14ac:dyDescent="0.2">
      <c r="N115" s="11"/>
      <c r="O115" s="11"/>
      <c r="P115" s="11"/>
      <c r="Q115" s="12"/>
      <c r="R115" s="11"/>
      <c r="S115" s="11"/>
      <c r="T115" s="11"/>
      <c r="U115" s="12"/>
    </row>
    <row r="116" spans="14:21" x14ac:dyDescent="0.2">
      <c r="N116" s="11"/>
      <c r="O116" s="11"/>
      <c r="P116" s="11"/>
      <c r="Q116" s="12"/>
      <c r="R116" s="11"/>
      <c r="S116" s="11"/>
      <c r="T116" s="11"/>
      <c r="U116" s="12"/>
    </row>
    <row r="117" spans="14:21" x14ac:dyDescent="0.2">
      <c r="N117" s="11"/>
      <c r="O117" s="11"/>
      <c r="P117" s="11"/>
      <c r="Q117" s="12"/>
      <c r="R117" s="11"/>
      <c r="S117" s="11"/>
      <c r="T117" s="11"/>
      <c r="U117" s="12"/>
    </row>
    <row r="118" spans="14:21" x14ac:dyDescent="0.2">
      <c r="N118" s="11"/>
      <c r="O118" s="11"/>
      <c r="P118" s="11"/>
      <c r="Q118" s="12"/>
      <c r="R118" s="11"/>
      <c r="S118" s="11"/>
      <c r="T118" s="11"/>
      <c r="U118" s="12"/>
    </row>
    <row r="119" spans="14:21" x14ac:dyDescent="0.2">
      <c r="N119" s="11"/>
      <c r="O119" s="11"/>
      <c r="P119" s="11"/>
      <c r="Q119" s="12"/>
      <c r="R119" s="11"/>
      <c r="S119" s="11"/>
      <c r="T119" s="11"/>
      <c r="U119" s="12"/>
    </row>
    <row r="120" spans="14:21" x14ac:dyDescent="0.2">
      <c r="N120" s="11"/>
      <c r="O120" s="11"/>
      <c r="P120" s="11"/>
      <c r="Q120" s="12"/>
      <c r="R120" s="11"/>
      <c r="S120" s="11"/>
      <c r="T120" s="11"/>
      <c r="U120" s="12"/>
    </row>
    <row r="121" spans="14:21" x14ac:dyDescent="0.2">
      <c r="N121" s="11"/>
      <c r="O121" s="11"/>
      <c r="P121" s="11"/>
      <c r="Q121" s="12"/>
      <c r="R121" s="11"/>
      <c r="S121" s="11"/>
      <c r="T121" s="11"/>
      <c r="U121" s="12"/>
    </row>
    <row r="122" spans="14:21" x14ac:dyDescent="0.2">
      <c r="N122" s="11"/>
      <c r="O122" s="11"/>
      <c r="P122" s="11"/>
      <c r="Q122" s="12"/>
      <c r="R122" s="11"/>
      <c r="S122" s="11"/>
      <c r="T122" s="11"/>
      <c r="U1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J47"/>
  <sheetViews>
    <sheetView tabSelected="1" workbookViewId="0">
      <selection activeCell="I20" sqref="I20"/>
    </sheetView>
  </sheetViews>
  <sheetFormatPr baseColWidth="10" defaultRowHeight="16" x14ac:dyDescent="0.2"/>
  <sheetData>
    <row r="1" spans="1:10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  <c r="G1" t="s">
        <v>54</v>
      </c>
    </row>
    <row r="2" spans="1:10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3.42</v>
      </c>
      <c r="G2">
        <v>3.36</v>
      </c>
      <c r="I2" s="17"/>
      <c r="J2" s="17"/>
    </row>
    <row r="3" spans="1:10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4.33</v>
      </c>
      <c r="G3">
        <v>2.73</v>
      </c>
      <c r="I3" s="17"/>
      <c r="J3" s="18"/>
    </row>
    <row r="4" spans="1:10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2.92</v>
      </c>
      <c r="G4">
        <v>2.11</v>
      </c>
      <c r="I4" s="17"/>
      <c r="J4" s="18"/>
    </row>
    <row r="5" spans="1:10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3.17</v>
      </c>
      <c r="G5">
        <v>2.82</v>
      </c>
      <c r="I5" s="17"/>
      <c r="J5" s="18"/>
    </row>
    <row r="6" spans="1:10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2.5299999999999998</v>
      </c>
      <c r="G6">
        <v>2.46</v>
      </c>
      <c r="I6" s="17"/>
      <c r="J6" s="18"/>
    </row>
    <row r="7" spans="1:10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3.45</v>
      </c>
      <c r="G7">
        <v>2.5499999999999998</v>
      </c>
      <c r="I7" s="17"/>
      <c r="J7" s="18"/>
    </row>
    <row r="8" spans="1:10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3.35</v>
      </c>
      <c r="G8">
        <v>2.63</v>
      </c>
      <c r="I8" s="17"/>
      <c r="J8" s="18"/>
    </row>
    <row r="9" spans="1:10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4.2300000000000004</v>
      </c>
      <c r="G9">
        <v>3.3</v>
      </c>
      <c r="I9" s="17"/>
      <c r="J9" s="18"/>
    </row>
    <row r="10" spans="1:10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6.07</v>
      </c>
      <c r="G10">
        <v>3.27</v>
      </c>
      <c r="I10" s="17"/>
      <c r="J10" s="18"/>
    </row>
    <row r="11" spans="1:10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10.36</v>
      </c>
      <c r="G11">
        <v>6.5</v>
      </c>
      <c r="I11" s="17"/>
      <c r="J11" s="17"/>
    </row>
    <row r="12" spans="1:10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16.55</v>
      </c>
      <c r="G12">
        <v>8.73</v>
      </c>
      <c r="I12" s="17"/>
      <c r="J12" s="17"/>
    </row>
    <row r="13" spans="1:10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7.91</v>
      </c>
      <c r="G13">
        <v>4.87</v>
      </c>
      <c r="I13" s="17"/>
      <c r="J13" s="17"/>
    </row>
    <row r="14" spans="1:10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5.62</v>
      </c>
      <c r="G14">
        <v>5.2</v>
      </c>
      <c r="I14" s="17"/>
      <c r="J14" s="17"/>
    </row>
    <row r="15" spans="1:10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6.45</v>
      </c>
      <c r="G15">
        <v>6.35</v>
      </c>
      <c r="I15" s="17"/>
      <c r="J15" s="17"/>
    </row>
    <row r="16" spans="1:10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60</v>
      </c>
      <c r="G16">
        <v>60</v>
      </c>
      <c r="I16" s="17"/>
      <c r="J16" s="17"/>
    </row>
    <row r="17" spans="1:10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11.57</v>
      </c>
      <c r="G17">
        <v>8.33</v>
      </c>
      <c r="I17" s="17"/>
      <c r="J17" s="17"/>
    </row>
    <row r="18" spans="1:10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10.02</v>
      </c>
      <c r="G18">
        <v>6.63</v>
      </c>
      <c r="I18" s="17"/>
      <c r="J18" s="17"/>
    </row>
    <row r="19" spans="1:10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12.14</v>
      </c>
      <c r="G19">
        <v>4.8499999999999996</v>
      </c>
      <c r="I19" s="17"/>
      <c r="J19" s="17"/>
    </row>
    <row r="20" spans="1:10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11.79</v>
      </c>
      <c r="G20">
        <v>6.4</v>
      </c>
      <c r="I20" s="17"/>
      <c r="J20" s="17"/>
    </row>
    <row r="21" spans="1:10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5.59</v>
      </c>
      <c r="G21">
        <v>4.53</v>
      </c>
      <c r="I21" s="17"/>
      <c r="J21" s="17"/>
    </row>
    <row r="22" spans="1:10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8.23</v>
      </c>
      <c r="G22">
        <v>4.67</v>
      </c>
      <c r="I22" s="17"/>
      <c r="J22" s="17"/>
    </row>
    <row r="23" spans="1:10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4.5199999999999996</v>
      </c>
      <c r="G23">
        <v>3.93</v>
      </c>
      <c r="I23" s="17"/>
      <c r="J23" s="17"/>
    </row>
    <row r="24" spans="1:10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13.48</v>
      </c>
      <c r="G24">
        <v>8.1300000000000008</v>
      </c>
      <c r="I24" s="17"/>
      <c r="J24" s="17"/>
    </row>
    <row r="25" spans="1:10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60</v>
      </c>
      <c r="G25">
        <v>4.1500000000000004</v>
      </c>
      <c r="I25" s="17"/>
      <c r="J25" s="17"/>
    </row>
    <row r="26" spans="1:10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6.68</v>
      </c>
      <c r="G26">
        <v>12.3</v>
      </c>
      <c r="I26" s="17"/>
      <c r="J26" s="17"/>
    </row>
    <row r="27" spans="1:10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11.62</v>
      </c>
      <c r="G27">
        <v>4.6900000000000004</v>
      </c>
      <c r="I27" s="17"/>
      <c r="J27" s="17"/>
    </row>
    <row r="28" spans="1:10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12.35</v>
      </c>
      <c r="G28">
        <v>6.65</v>
      </c>
      <c r="I28" s="17"/>
      <c r="J28" s="17"/>
    </row>
    <row r="29" spans="1:10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12.05</v>
      </c>
      <c r="G29">
        <v>5.54</v>
      </c>
      <c r="I29" s="17"/>
      <c r="J29" s="17"/>
    </row>
    <row r="30" spans="1:10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5</v>
      </c>
      <c r="G30">
        <v>5.29</v>
      </c>
      <c r="I30" s="17"/>
      <c r="J30" s="17"/>
    </row>
    <row r="31" spans="1:10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7.19</v>
      </c>
      <c r="G31">
        <v>4.24</v>
      </c>
      <c r="I31" s="17"/>
      <c r="J31" s="17"/>
    </row>
    <row r="32" spans="1:10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8.08</v>
      </c>
      <c r="G32">
        <v>3.07</v>
      </c>
      <c r="I32" s="17"/>
      <c r="J32" s="17"/>
    </row>
    <row r="33" spans="1:10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7.09</v>
      </c>
      <c r="G33">
        <v>6.73</v>
      </c>
      <c r="I33" s="17"/>
      <c r="J33" s="17"/>
    </row>
    <row r="34" spans="1:10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4.45</v>
      </c>
      <c r="G34">
        <v>3.18</v>
      </c>
      <c r="I34" s="17"/>
      <c r="J34" s="17"/>
    </row>
    <row r="35" spans="1:10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7.09</v>
      </c>
      <c r="G35">
        <v>6.14</v>
      </c>
      <c r="I35" s="17"/>
      <c r="J35" s="17"/>
    </row>
    <row r="36" spans="1:10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5.07</v>
      </c>
      <c r="G36">
        <v>3.28</v>
      </c>
      <c r="I36" s="17"/>
      <c r="J36" s="17"/>
    </row>
    <row r="37" spans="1:10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5.47</v>
      </c>
      <c r="G37">
        <v>4.4400000000000004</v>
      </c>
      <c r="I37" s="17"/>
      <c r="J37" s="18"/>
    </row>
    <row r="38" spans="1:10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4.2699999999999996</v>
      </c>
      <c r="G38">
        <v>2.67</v>
      </c>
      <c r="I38" s="17"/>
      <c r="J38" s="18"/>
    </row>
    <row r="39" spans="1:10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6.97</v>
      </c>
      <c r="G39">
        <v>6.25</v>
      </c>
      <c r="I39" s="17"/>
      <c r="J39" s="17"/>
    </row>
    <row r="40" spans="1:10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6.68</v>
      </c>
      <c r="G40">
        <v>5.83</v>
      </c>
      <c r="I40" s="17"/>
      <c r="J40" s="17"/>
    </row>
    <row r="41" spans="1:10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19.89</v>
      </c>
      <c r="G41">
        <v>8.73</v>
      </c>
      <c r="I41" s="17"/>
      <c r="J41" s="17"/>
    </row>
    <row r="42" spans="1:10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15.32</v>
      </c>
      <c r="G42">
        <v>9.4600000000000009</v>
      </c>
      <c r="I42" s="17"/>
      <c r="J42" s="17"/>
    </row>
    <row r="43" spans="1:10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4.7699999999999996</v>
      </c>
      <c r="G43">
        <v>3</v>
      </c>
      <c r="I43" s="17"/>
      <c r="J43" s="17"/>
    </row>
    <row r="44" spans="1:10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4.6900000000000004</v>
      </c>
      <c r="G44">
        <v>3.7</v>
      </c>
      <c r="I44" s="17"/>
      <c r="J44" s="17"/>
    </row>
    <row r="45" spans="1:10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4.67</v>
      </c>
      <c r="G45">
        <v>4.9400000000000004</v>
      </c>
      <c r="I45" s="17"/>
      <c r="J45" s="17"/>
    </row>
    <row r="46" spans="1:10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5.14</v>
      </c>
      <c r="G46">
        <v>4.03</v>
      </c>
      <c r="I46" s="17"/>
      <c r="J46" s="17"/>
    </row>
    <row r="47" spans="1:10" x14ac:dyDescent="0.2">
      <c r="I47" s="17"/>
      <c r="J4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I46"/>
  <sheetViews>
    <sheetView workbookViewId="0">
      <selection activeCell="A2" sqref="A2:E46"/>
    </sheetView>
  </sheetViews>
  <sheetFormatPr baseColWidth="10" defaultRowHeight="16" x14ac:dyDescent="0.2"/>
  <sheetData>
    <row r="1" spans="1:9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55</v>
      </c>
      <c r="G1" t="s">
        <v>56</v>
      </c>
      <c r="H1" t="s">
        <v>57</v>
      </c>
      <c r="I1" t="s">
        <v>58</v>
      </c>
    </row>
    <row r="2" spans="1:9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10</v>
      </c>
      <c r="G2">
        <v>11</v>
      </c>
      <c r="H2">
        <v>2</v>
      </c>
      <c r="I2">
        <v>5</v>
      </c>
    </row>
    <row r="3" spans="1:9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11</v>
      </c>
      <c r="G3">
        <v>12</v>
      </c>
      <c r="H3">
        <v>2</v>
      </c>
      <c r="I3">
        <v>3</v>
      </c>
    </row>
    <row r="4" spans="1:9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11</v>
      </c>
      <c r="G4">
        <v>10</v>
      </c>
      <c r="H4">
        <v>5</v>
      </c>
      <c r="I4">
        <v>2</v>
      </c>
    </row>
    <row r="5" spans="1:9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11</v>
      </c>
      <c r="G5">
        <v>11</v>
      </c>
      <c r="H5">
        <v>4</v>
      </c>
      <c r="I5">
        <v>3</v>
      </c>
    </row>
    <row r="6" spans="1:9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11</v>
      </c>
      <c r="G6">
        <v>10</v>
      </c>
      <c r="H6">
        <v>1</v>
      </c>
      <c r="I6">
        <v>2</v>
      </c>
    </row>
    <row r="7" spans="1:9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11</v>
      </c>
      <c r="G7">
        <v>10</v>
      </c>
      <c r="H7">
        <v>2</v>
      </c>
      <c r="I7">
        <v>3</v>
      </c>
    </row>
    <row r="8" spans="1:9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10</v>
      </c>
      <c r="G8">
        <v>10</v>
      </c>
      <c r="H8">
        <v>2</v>
      </c>
      <c r="I8">
        <v>3</v>
      </c>
    </row>
    <row r="9" spans="1:9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11</v>
      </c>
      <c r="G9">
        <v>12</v>
      </c>
      <c r="H9">
        <v>3</v>
      </c>
      <c r="I9">
        <v>2</v>
      </c>
    </row>
    <row r="10" spans="1:9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11</v>
      </c>
      <c r="G10">
        <v>11</v>
      </c>
      <c r="H10">
        <v>4</v>
      </c>
      <c r="I10">
        <v>4</v>
      </c>
    </row>
    <row r="11" spans="1:9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14</v>
      </c>
      <c r="G11">
        <v>12</v>
      </c>
      <c r="H11">
        <v>18</v>
      </c>
      <c r="I11">
        <v>13</v>
      </c>
    </row>
    <row r="12" spans="1:9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12</v>
      </c>
      <c r="G12">
        <v>12</v>
      </c>
      <c r="H12">
        <v>10</v>
      </c>
      <c r="I12">
        <v>12</v>
      </c>
    </row>
    <row r="13" spans="1:9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12</v>
      </c>
      <c r="G13">
        <v>12</v>
      </c>
      <c r="H13">
        <v>14</v>
      </c>
      <c r="I13">
        <v>10</v>
      </c>
    </row>
    <row r="14" spans="1:9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13</v>
      </c>
      <c r="G14">
        <v>12</v>
      </c>
      <c r="H14">
        <v>10</v>
      </c>
      <c r="I14">
        <v>9</v>
      </c>
    </row>
    <row r="15" spans="1:9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14</v>
      </c>
      <c r="G15">
        <v>12</v>
      </c>
      <c r="H15">
        <v>9</v>
      </c>
      <c r="I15">
        <v>15</v>
      </c>
    </row>
    <row r="16" spans="1:9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</row>
    <row r="17" spans="1:9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11</v>
      </c>
      <c r="G17">
        <v>11</v>
      </c>
      <c r="H17">
        <v>15</v>
      </c>
      <c r="I17">
        <v>13</v>
      </c>
    </row>
    <row r="18" spans="1:9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13</v>
      </c>
      <c r="G18">
        <v>13</v>
      </c>
      <c r="H18">
        <v>14</v>
      </c>
      <c r="I18">
        <v>10</v>
      </c>
    </row>
    <row r="19" spans="1:9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11</v>
      </c>
      <c r="G19">
        <v>11</v>
      </c>
      <c r="H19">
        <v>14</v>
      </c>
      <c r="I19">
        <v>9</v>
      </c>
    </row>
    <row r="20" spans="1:9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10</v>
      </c>
      <c r="G20">
        <v>11</v>
      </c>
      <c r="H20">
        <v>9</v>
      </c>
      <c r="I20">
        <v>8</v>
      </c>
    </row>
    <row r="21" spans="1:9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12</v>
      </c>
      <c r="G21">
        <v>11</v>
      </c>
      <c r="H21">
        <v>10</v>
      </c>
      <c r="I21">
        <v>8</v>
      </c>
    </row>
    <row r="22" spans="1:9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11</v>
      </c>
      <c r="G22">
        <v>14</v>
      </c>
      <c r="H22">
        <v>14</v>
      </c>
      <c r="I22">
        <v>13</v>
      </c>
    </row>
    <row r="23" spans="1:9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11</v>
      </c>
      <c r="G23">
        <v>12</v>
      </c>
      <c r="H23">
        <v>10</v>
      </c>
      <c r="I23">
        <v>9</v>
      </c>
    </row>
    <row r="24" spans="1:9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10</v>
      </c>
      <c r="G24">
        <v>10</v>
      </c>
      <c r="H24">
        <v>13</v>
      </c>
      <c r="I24">
        <v>8</v>
      </c>
    </row>
    <row r="25" spans="1:9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G25">
        <v>10</v>
      </c>
      <c r="I25">
        <v>11</v>
      </c>
    </row>
    <row r="26" spans="1:9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11</v>
      </c>
      <c r="G26">
        <v>11</v>
      </c>
      <c r="H26">
        <v>12</v>
      </c>
      <c r="I26">
        <v>9</v>
      </c>
    </row>
    <row r="27" spans="1:9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11</v>
      </c>
      <c r="G27">
        <v>10</v>
      </c>
      <c r="H27">
        <v>8</v>
      </c>
      <c r="I27">
        <v>6</v>
      </c>
    </row>
    <row r="28" spans="1:9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10</v>
      </c>
      <c r="G28">
        <v>11</v>
      </c>
      <c r="H28">
        <v>7</v>
      </c>
      <c r="I28">
        <v>8</v>
      </c>
    </row>
    <row r="29" spans="1:9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10</v>
      </c>
      <c r="G29">
        <v>11</v>
      </c>
      <c r="H29">
        <v>7</v>
      </c>
      <c r="I29">
        <v>7</v>
      </c>
    </row>
    <row r="30" spans="1:9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10</v>
      </c>
      <c r="G30">
        <v>10</v>
      </c>
      <c r="H30">
        <v>7</v>
      </c>
      <c r="I30">
        <v>9</v>
      </c>
    </row>
    <row r="31" spans="1:9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10</v>
      </c>
      <c r="G31">
        <v>10</v>
      </c>
      <c r="H31">
        <v>7</v>
      </c>
      <c r="I31">
        <v>7</v>
      </c>
    </row>
    <row r="32" spans="1:9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10</v>
      </c>
      <c r="G32">
        <v>10</v>
      </c>
      <c r="H32">
        <v>6</v>
      </c>
      <c r="I32">
        <v>5</v>
      </c>
    </row>
    <row r="33" spans="1:9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11</v>
      </c>
      <c r="G33">
        <v>11</v>
      </c>
      <c r="H33">
        <v>8</v>
      </c>
      <c r="I33">
        <v>8</v>
      </c>
    </row>
    <row r="34" spans="1:9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10</v>
      </c>
      <c r="G34">
        <v>10</v>
      </c>
      <c r="H34">
        <v>7</v>
      </c>
      <c r="I34">
        <v>8</v>
      </c>
    </row>
    <row r="35" spans="1:9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10</v>
      </c>
      <c r="G35">
        <v>10</v>
      </c>
      <c r="H35">
        <v>8</v>
      </c>
      <c r="I35">
        <v>7</v>
      </c>
    </row>
    <row r="36" spans="1:9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12</v>
      </c>
      <c r="G36">
        <v>11</v>
      </c>
      <c r="H36">
        <v>7</v>
      </c>
      <c r="I36">
        <v>2</v>
      </c>
    </row>
    <row r="37" spans="1:9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12</v>
      </c>
      <c r="G37">
        <v>11</v>
      </c>
      <c r="H37">
        <v>1</v>
      </c>
      <c r="I37">
        <v>1</v>
      </c>
    </row>
    <row r="38" spans="1:9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11</v>
      </c>
      <c r="G38">
        <v>10</v>
      </c>
      <c r="H38">
        <v>2</v>
      </c>
      <c r="I38">
        <v>3</v>
      </c>
    </row>
    <row r="39" spans="1:9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12</v>
      </c>
      <c r="G39">
        <v>10</v>
      </c>
      <c r="H39">
        <v>9</v>
      </c>
      <c r="I39">
        <v>8</v>
      </c>
    </row>
    <row r="40" spans="1:9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11</v>
      </c>
      <c r="G40">
        <v>9</v>
      </c>
      <c r="H40">
        <v>12</v>
      </c>
      <c r="I40">
        <v>8</v>
      </c>
    </row>
    <row r="41" spans="1:9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12</v>
      </c>
      <c r="G41">
        <v>10</v>
      </c>
      <c r="H41">
        <v>13</v>
      </c>
      <c r="I41">
        <v>9</v>
      </c>
    </row>
    <row r="42" spans="1:9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15</v>
      </c>
      <c r="G42">
        <v>14</v>
      </c>
      <c r="H42">
        <v>9</v>
      </c>
      <c r="I42">
        <v>7</v>
      </c>
    </row>
    <row r="43" spans="1:9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11</v>
      </c>
      <c r="G43">
        <v>11</v>
      </c>
      <c r="H43">
        <v>3</v>
      </c>
      <c r="I43">
        <v>3</v>
      </c>
    </row>
    <row r="44" spans="1:9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14</v>
      </c>
      <c r="G44">
        <v>12</v>
      </c>
      <c r="H44">
        <v>6</v>
      </c>
      <c r="I44">
        <v>8</v>
      </c>
    </row>
    <row r="45" spans="1:9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14</v>
      </c>
      <c r="G45">
        <v>13</v>
      </c>
      <c r="H45">
        <v>2</v>
      </c>
      <c r="I45">
        <v>6</v>
      </c>
    </row>
    <row r="46" spans="1:9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11</v>
      </c>
      <c r="G46">
        <v>13</v>
      </c>
      <c r="H46">
        <v>8</v>
      </c>
      <c r="I4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  <c r="G1" t="s">
        <v>54</v>
      </c>
    </row>
    <row r="2" spans="1:7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5.34</v>
      </c>
      <c r="G2">
        <v>4.95</v>
      </c>
    </row>
    <row r="3" spans="1:7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5.14</v>
      </c>
      <c r="G3">
        <v>4.88</v>
      </c>
    </row>
    <row r="4" spans="1:7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4.12</v>
      </c>
      <c r="G4">
        <v>3.47</v>
      </c>
    </row>
    <row r="5" spans="1:7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6.47</v>
      </c>
      <c r="G5">
        <v>9.43</v>
      </c>
    </row>
    <row r="6" spans="1:7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6.21</v>
      </c>
      <c r="G6">
        <v>4.9800000000000004</v>
      </c>
    </row>
    <row r="7" spans="1:7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5.57</v>
      </c>
      <c r="G7">
        <v>4.07</v>
      </c>
    </row>
    <row r="8" spans="1:7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4.57</v>
      </c>
      <c r="G8">
        <v>4.12</v>
      </c>
    </row>
    <row r="9" spans="1:7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4.38</v>
      </c>
      <c r="G9">
        <v>4.3</v>
      </c>
    </row>
    <row r="10" spans="1:7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7.61</v>
      </c>
      <c r="G10">
        <v>4.8899999999999997</v>
      </c>
    </row>
    <row r="11" spans="1:7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7.99</v>
      </c>
      <c r="G11">
        <v>6.42</v>
      </c>
    </row>
    <row r="12" spans="1:7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8.2799999999999994</v>
      </c>
      <c r="G12">
        <v>7.19</v>
      </c>
    </row>
    <row r="13" spans="1:7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9.8800000000000008</v>
      </c>
      <c r="G13">
        <v>8.68</v>
      </c>
    </row>
    <row r="14" spans="1:7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5.49</v>
      </c>
      <c r="G14">
        <v>7.01</v>
      </c>
    </row>
    <row r="15" spans="1:7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10.210000000000001</v>
      </c>
      <c r="G15">
        <v>10.98</v>
      </c>
    </row>
    <row r="16" spans="1:7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6.62</v>
      </c>
      <c r="G16">
        <v>6.07</v>
      </c>
    </row>
    <row r="17" spans="1:7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17.760000000000002</v>
      </c>
      <c r="G17">
        <v>14.12</v>
      </c>
    </row>
    <row r="18" spans="1:7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13.95</v>
      </c>
      <c r="G18">
        <v>10.210000000000001</v>
      </c>
    </row>
    <row r="19" spans="1:7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6.01</v>
      </c>
      <c r="G19">
        <v>4.34</v>
      </c>
    </row>
    <row r="20" spans="1:7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6.1</v>
      </c>
      <c r="G20">
        <v>5.39</v>
      </c>
    </row>
    <row r="21" spans="1:7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6.89</v>
      </c>
      <c r="G21">
        <v>7.05</v>
      </c>
    </row>
    <row r="22" spans="1:7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12.08</v>
      </c>
      <c r="G22">
        <v>6.37</v>
      </c>
    </row>
    <row r="23" spans="1:7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8.94</v>
      </c>
      <c r="G23">
        <v>6.89</v>
      </c>
    </row>
    <row r="24" spans="1:7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21.22</v>
      </c>
      <c r="G24">
        <v>4.05</v>
      </c>
    </row>
    <row r="25" spans="1:7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7.99</v>
      </c>
      <c r="G25">
        <v>6.96</v>
      </c>
    </row>
    <row r="26" spans="1:7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6.31</v>
      </c>
      <c r="G26">
        <v>3.7</v>
      </c>
    </row>
    <row r="27" spans="1:7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8.7899999999999991</v>
      </c>
      <c r="G27">
        <v>5.82</v>
      </c>
    </row>
    <row r="28" spans="1:7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7.04</v>
      </c>
      <c r="G28">
        <v>9.93</v>
      </c>
    </row>
    <row r="29" spans="1:7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7.12</v>
      </c>
      <c r="G29">
        <v>5.92</v>
      </c>
    </row>
    <row r="30" spans="1:7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4.92</v>
      </c>
      <c r="G30">
        <v>4.28</v>
      </c>
    </row>
    <row r="31" spans="1:7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4.72</v>
      </c>
      <c r="G31">
        <v>4.22</v>
      </c>
    </row>
    <row r="32" spans="1:7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14.32</v>
      </c>
      <c r="G32">
        <v>9.2100000000000009</v>
      </c>
    </row>
    <row r="33" spans="1:7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10.5</v>
      </c>
      <c r="G33">
        <v>12.15</v>
      </c>
    </row>
    <row r="34" spans="1:7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8.09</v>
      </c>
      <c r="G34">
        <v>9.34</v>
      </c>
    </row>
    <row r="35" spans="1:7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10.66</v>
      </c>
      <c r="G35">
        <v>6.39</v>
      </c>
    </row>
    <row r="36" spans="1:7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6.09</v>
      </c>
      <c r="G36">
        <v>8.57</v>
      </c>
    </row>
    <row r="37" spans="1:7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6.42</v>
      </c>
      <c r="G37">
        <v>5.15</v>
      </c>
    </row>
    <row r="38" spans="1:7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7.6</v>
      </c>
      <c r="G38">
        <v>5.25</v>
      </c>
    </row>
    <row r="39" spans="1:7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6.46</v>
      </c>
      <c r="G39">
        <v>6.5</v>
      </c>
    </row>
    <row r="40" spans="1:7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5.4</v>
      </c>
      <c r="G40">
        <v>5.07</v>
      </c>
    </row>
    <row r="41" spans="1:7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6.84</v>
      </c>
      <c r="G41">
        <v>6.07</v>
      </c>
    </row>
    <row r="42" spans="1:7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16.46</v>
      </c>
      <c r="G42">
        <v>30</v>
      </c>
    </row>
    <row r="43" spans="1:7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9.34</v>
      </c>
      <c r="G43">
        <v>5.72</v>
      </c>
    </row>
    <row r="44" spans="1:7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6.52</v>
      </c>
      <c r="G44">
        <v>5.15</v>
      </c>
    </row>
    <row r="45" spans="1:7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8.08</v>
      </c>
      <c r="G45">
        <v>6.49</v>
      </c>
    </row>
    <row r="46" spans="1:7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4.1900000000000004</v>
      </c>
      <c r="G46">
        <v>3.87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60</v>
      </c>
    </row>
    <row r="3" spans="1:6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60</v>
      </c>
    </row>
    <row r="4" spans="1:6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35.18</v>
      </c>
    </row>
    <row r="5" spans="1:6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60</v>
      </c>
    </row>
    <row r="6" spans="1:6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60</v>
      </c>
    </row>
    <row r="7" spans="1:6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16.98</v>
      </c>
    </row>
    <row r="8" spans="1:6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22.64</v>
      </c>
    </row>
    <row r="9" spans="1:6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60</v>
      </c>
    </row>
    <row r="10" spans="1:6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60</v>
      </c>
    </row>
    <row r="11" spans="1:6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1.83</v>
      </c>
    </row>
    <row r="12" spans="1:6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15.33</v>
      </c>
    </row>
    <row r="13" spans="1:6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3.15</v>
      </c>
    </row>
    <row r="14" spans="1:6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8.06</v>
      </c>
    </row>
    <row r="15" spans="1:6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16.14</v>
      </c>
    </row>
    <row r="16" spans="1:6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4.67</v>
      </c>
    </row>
    <row r="17" spans="1:6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5.71</v>
      </c>
    </row>
    <row r="18" spans="1:6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1.06</v>
      </c>
    </row>
    <row r="19" spans="1:6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16.7</v>
      </c>
    </row>
    <row r="20" spans="1:6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9</v>
      </c>
    </row>
    <row r="21" spans="1:6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24.01</v>
      </c>
    </row>
    <row r="22" spans="1:6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19.100000000000001</v>
      </c>
    </row>
    <row r="23" spans="1:6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17.43</v>
      </c>
    </row>
    <row r="24" spans="1:6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2.38</v>
      </c>
    </row>
    <row r="25" spans="1:6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60</v>
      </c>
    </row>
    <row r="26" spans="1:6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10.050000000000001</v>
      </c>
    </row>
    <row r="27" spans="1:6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12.99</v>
      </c>
    </row>
    <row r="28" spans="1:6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60</v>
      </c>
    </row>
    <row r="29" spans="1:6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3.99</v>
      </c>
    </row>
    <row r="30" spans="1:6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5.85</v>
      </c>
    </row>
    <row r="31" spans="1:6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9.98</v>
      </c>
    </row>
    <row r="32" spans="1:6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60</v>
      </c>
    </row>
    <row r="33" spans="1:6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15.54</v>
      </c>
    </row>
    <row r="34" spans="1:6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16.04</v>
      </c>
    </row>
    <row r="35" spans="1:6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60</v>
      </c>
    </row>
    <row r="36" spans="1:6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30.99</v>
      </c>
    </row>
    <row r="37" spans="1:6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60</v>
      </c>
    </row>
    <row r="38" spans="1:6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60</v>
      </c>
    </row>
    <row r="39" spans="1:6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6.91</v>
      </c>
    </row>
    <row r="40" spans="1:6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6.27</v>
      </c>
    </row>
    <row r="41" spans="1:6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9.58</v>
      </c>
    </row>
    <row r="42" spans="1:6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15.01</v>
      </c>
    </row>
    <row r="43" spans="1:6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8.39</v>
      </c>
    </row>
    <row r="44" spans="1:6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9.89</v>
      </c>
    </row>
    <row r="45" spans="1:6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7.63</v>
      </c>
    </row>
    <row r="46" spans="1:6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9.17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  <c r="G1" t="s">
        <v>54</v>
      </c>
    </row>
    <row r="2" spans="1:7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2</v>
      </c>
      <c r="G2">
        <v>2.5499999999999998</v>
      </c>
    </row>
    <row r="3" spans="1:7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1.65</v>
      </c>
      <c r="G3">
        <v>1.23</v>
      </c>
    </row>
    <row r="4" spans="1:7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1.32</v>
      </c>
      <c r="G4">
        <v>1.1100000000000001</v>
      </c>
    </row>
    <row r="5" spans="1:7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1.48</v>
      </c>
      <c r="G5">
        <v>1.28</v>
      </c>
    </row>
    <row r="6" spans="1:7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1.76</v>
      </c>
      <c r="G6">
        <v>1.9</v>
      </c>
    </row>
    <row r="7" spans="1:7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1.06</v>
      </c>
      <c r="G7">
        <v>1.35</v>
      </c>
    </row>
    <row r="8" spans="1:7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1.1499999999999999</v>
      </c>
      <c r="G8">
        <v>1.38</v>
      </c>
    </row>
    <row r="9" spans="1:7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0.86</v>
      </c>
      <c r="G9">
        <v>1.08</v>
      </c>
    </row>
    <row r="10" spans="1:7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2.2000000000000002</v>
      </c>
      <c r="G10">
        <v>1.9</v>
      </c>
    </row>
    <row r="11" spans="1:7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1.85</v>
      </c>
      <c r="G11">
        <v>6.62</v>
      </c>
    </row>
    <row r="12" spans="1:7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3.84</v>
      </c>
      <c r="G12">
        <v>6.56</v>
      </c>
    </row>
    <row r="13" spans="1:7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1.98</v>
      </c>
      <c r="G13">
        <v>4.42</v>
      </c>
    </row>
    <row r="14" spans="1:7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2.2999999999999998</v>
      </c>
      <c r="G14">
        <v>2.1</v>
      </c>
    </row>
    <row r="15" spans="1:7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2.8</v>
      </c>
      <c r="G15">
        <v>1.98</v>
      </c>
    </row>
    <row r="16" spans="1:7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10.26</v>
      </c>
      <c r="G16">
        <v>10.56</v>
      </c>
    </row>
    <row r="17" spans="1:7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3.75</v>
      </c>
      <c r="G17">
        <v>2.8</v>
      </c>
    </row>
    <row r="18" spans="1:7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2.1</v>
      </c>
      <c r="G18">
        <v>2.37</v>
      </c>
    </row>
    <row r="19" spans="1:7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2.95</v>
      </c>
      <c r="G19">
        <v>3.84</v>
      </c>
    </row>
    <row r="20" spans="1:7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2.98</v>
      </c>
      <c r="G20">
        <v>2.57</v>
      </c>
    </row>
    <row r="21" spans="1:7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4.42</v>
      </c>
      <c r="G21">
        <v>3.67</v>
      </c>
    </row>
    <row r="22" spans="1:7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3.4</v>
      </c>
      <c r="G22">
        <v>3.02</v>
      </c>
    </row>
    <row r="23" spans="1:7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3.53</v>
      </c>
      <c r="G23">
        <v>2.73</v>
      </c>
    </row>
    <row r="24" spans="1:7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1.31</v>
      </c>
      <c r="G24">
        <v>2.1800000000000002</v>
      </c>
    </row>
    <row r="25" spans="1:7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2.33</v>
      </c>
      <c r="G25">
        <v>6.03</v>
      </c>
    </row>
    <row r="26" spans="1:7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6.61</v>
      </c>
      <c r="G26">
        <v>6.42</v>
      </c>
    </row>
    <row r="27" spans="1:7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2.3199999999999998</v>
      </c>
      <c r="G27">
        <v>4.49</v>
      </c>
    </row>
    <row r="28" spans="1:7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5.34</v>
      </c>
      <c r="G28">
        <v>3.4</v>
      </c>
    </row>
    <row r="29" spans="1:7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2.23</v>
      </c>
      <c r="G29">
        <v>1.68</v>
      </c>
    </row>
    <row r="30" spans="1:7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4.0199999999999996</v>
      </c>
      <c r="G30">
        <v>3.12</v>
      </c>
    </row>
    <row r="31" spans="1:7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1.4</v>
      </c>
      <c r="G31">
        <v>3.54</v>
      </c>
    </row>
    <row r="32" spans="1:7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4.67</v>
      </c>
      <c r="G32">
        <v>3.53</v>
      </c>
    </row>
    <row r="33" spans="1:7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2.1</v>
      </c>
      <c r="G33">
        <v>1.55</v>
      </c>
    </row>
    <row r="34" spans="1:7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1.7</v>
      </c>
      <c r="G34">
        <v>1.48</v>
      </c>
    </row>
    <row r="35" spans="1:7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1.08</v>
      </c>
      <c r="G35">
        <v>1.68</v>
      </c>
    </row>
    <row r="36" spans="1:7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2</v>
      </c>
      <c r="G36">
        <v>1.75</v>
      </c>
    </row>
    <row r="37" spans="1:7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2.13</v>
      </c>
      <c r="G37">
        <v>2.57</v>
      </c>
    </row>
    <row r="38" spans="1:7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2.1800000000000002</v>
      </c>
      <c r="G38">
        <v>2.1</v>
      </c>
    </row>
    <row r="39" spans="1:7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2.34</v>
      </c>
      <c r="G39">
        <v>4.91</v>
      </c>
    </row>
    <row r="40" spans="1:7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2.36</v>
      </c>
      <c r="G40">
        <v>2.71</v>
      </c>
    </row>
    <row r="41" spans="1:7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3.82</v>
      </c>
      <c r="G41">
        <v>3.13</v>
      </c>
    </row>
    <row r="42" spans="1:7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1.2</v>
      </c>
      <c r="G42">
        <v>1.85</v>
      </c>
    </row>
    <row r="43" spans="1:7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1.46</v>
      </c>
      <c r="G43">
        <v>2.17</v>
      </c>
    </row>
    <row r="44" spans="1:7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2.2200000000000002</v>
      </c>
      <c r="G44">
        <v>1.71</v>
      </c>
    </row>
    <row r="45" spans="1:7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1.03</v>
      </c>
      <c r="G45">
        <v>1.1299999999999999</v>
      </c>
    </row>
    <row r="46" spans="1:7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1.63</v>
      </c>
      <c r="G46">
        <v>1.01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0</v>
      </c>
    </row>
    <row r="3" spans="1:6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0</v>
      </c>
    </row>
    <row r="4" spans="1:6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0</v>
      </c>
    </row>
    <row r="5" spans="1:6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1</v>
      </c>
    </row>
    <row r="6" spans="1:6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0</v>
      </c>
    </row>
    <row r="7" spans="1:6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0</v>
      </c>
    </row>
    <row r="8" spans="1:6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0</v>
      </c>
    </row>
    <row r="9" spans="1:6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0</v>
      </c>
    </row>
    <row r="10" spans="1:6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1</v>
      </c>
    </row>
    <row r="11" spans="1:6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1.5</v>
      </c>
    </row>
    <row r="12" spans="1:6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2</v>
      </c>
    </row>
    <row r="13" spans="1:6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2</v>
      </c>
    </row>
    <row r="14" spans="1:6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1</v>
      </c>
    </row>
    <row r="15" spans="1:6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1.5</v>
      </c>
    </row>
    <row r="16" spans="1:6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2</v>
      </c>
    </row>
    <row r="17" spans="1:6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1.5</v>
      </c>
    </row>
    <row r="18" spans="1:6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1.5</v>
      </c>
    </row>
    <row r="19" spans="1:6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3</v>
      </c>
    </row>
    <row r="20" spans="1:6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2</v>
      </c>
    </row>
    <row r="21" spans="1:6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2.5</v>
      </c>
    </row>
    <row r="22" spans="1:6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1.5</v>
      </c>
    </row>
    <row r="23" spans="1:6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2</v>
      </c>
    </row>
    <row r="24" spans="1:6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2</v>
      </c>
    </row>
    <row r="25" spans="1:6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0</v>
      </c>
    </row>
    <row r="26" spans="1:6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1</v>
      </c>
    </row>
    <row r="27" spans="1:6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0</v>
      </c>
    </row>
    <row r="28" spans="1:6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1.5</v>
      </c>
    </row>
    <row r="29" spans="1:6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3</v>
      </c>
    </row>
    <row r="30" spans="1:6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0</v>
      </c>
    </row>
    <row r="31" spans="1:6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0</v>
      </c>
    </row>
    <row r="32" spans="1:6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2</v>
      </c>
    </row>
    <row r="33" spans="1:6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0</v>
      </c>
    </row>
    <row r="34" spans="1:6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1</v>
      </c>
    </row>
    <row r="35" spans="1:6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0</v>
      </c>
    </row>
    <row r="36" spans="1:6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1</v>
      </c>
    </row>
    <row r="37" spans="1:6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0</v>
      </c>
    </row>
    <row r="38" spans="1:6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0</v>
      </c>
    </row>
    <row r="39" spans="1:6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2</v>
      </c>
    </row>
    <row r="40" spans="1:6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1.5</v>
      </c>
    </row>
    <row r="41" spans="1:6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2.5</v>
      </c>
    </row>
    <row r="42" spans="1:6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1</v>
      </c>
    </row>
    <row r="43" spans="1:6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1.5</v>
      </c>
    </row>
    <row r="44" spans="1:6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0</v>
      </c>
    </row>
    <row r="45" spans="1:6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0</v>
      </c>
    </row>
    <row r="46" spans="1:6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J46"/>
  <sheetViews>
    <sheetView workbookViewId="0">
      <selection sqref="A1:I46"/>
    </sheetView>
  </sheetViews>
  <sheetFormatPr baseColWidth="10" defaultRowHeight="16" x14ac:dyDescent="0.2"/>
  <sheetData>
    <row r="1" spans="1:9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4</v>
      </c>
      <c r="I2">
        <v>6</v>
      </c>
    </row>
    <row r="3" spans="1:9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6</v>
      </c>
      <c r="I3">
        <v>7</v>
      </c>
    </row>
    <row r="4" spans="1:9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15</v>
      </c>
      <c r="I4">
        <v>15</v>
      </c>
    </row>
    <row r="5" spans="1:9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3</v>
      </c>
      <c r="I5">
        <v>5</v>
      </c>
    </row>
    <row r="6" spans="1:9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2</v>
      </c>
      <c r="I6">
        <v>4</v>
      </c>
    </row>
    <row r="7" spans="1:9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4</v>
      </c>
      <c r="I7">
        <v>5</v>
      </c>
    </row>
    <row r="8" spans="1:9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5</v>
      </c>
      <c r="I8">
        <v>7</v>
      </c>
    </row>
    <row r="9" spans="1:9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3</v>
      </c>
      <c r="I9">
        <v>5</v>
      </c>
    </row>
    <row r="10" spans="1:9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4</v>
      </c>
      <c r="I10">
        <v>5</v>
      </c>
    </row>
    <row r="11" spans="1:9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7</v>
      </c>
      <c r="I11">
        <v>10</v>
      </c>
    </row>
    <row r="12" spans="1:9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4</v>
      </c>
      <c r="I12">
        <v>11</v>
      </c>
    </row>
    <row r="13" spans="1:9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7</v>
      </c>
      <c r="I13">
        <v>7</v>
      </c>
    </row>
    <row r="14" spans="1:9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3</v>
      </c>
      <c r="I14">
        <v>8</v>
      </c>
    </row>
    <row r="15" spans="1:9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5</v>
      </c>
      <c r="I15">
        <v>7</v>
      </c>
    </row>
    <row r="16" spans="1:9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0</v>
      </c>
      <c r="I16">
        <v>0</v>
      </c>
    </row>
    <row r="17" spans="1:10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2</v>
      </c>
      <c r="I17">
        <v>4</v>
      </c>
    </row>
    <row r="18" spans="1:10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5</v>
      </c>
      <c r="I18">
        <v>5</v>
      </c>
    </row>
    <row r="19" spans="1:10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0</v>
      </c>
      <c r="I19">
        <v>1</v>
      </c>
    </row>
    <row r="20" spans="1:10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6</v>
      </c>
      <c r="I20">
        <v>6</v>
      </c>
    </row>
    <row r="21" spans="1:10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4</v>
      </c>
      <c r="I21">
        <v>8</v>
      </c>
    </row>
    <row r="22" spans="1:10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5</v>
      </c>
      <c r="I22">
        <v>7</v>
      </c>
    </row>
    <row r="23" spans="1:10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2</v>
      </c>
      <c r="I23">
        <v>3</v>
      </c>
    </row>
    <row r="24" spans="1:10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2</v>
      </c>
      <c r="I24">
        <v>9</v>
      </c>
    </row>
    <row r="25" spans="1:10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4</v>
      </c>
      <c r="I25">
        <v>7</v>
      </c>
    </row>
    <row r="26" spans="1:10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2</v>
      </c>
      <c r="I26">
        <v>6</v>
      </c>
    </row>
    <row r="27" spans="1:10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8</v>
      </c>
      <c r="I27">
        <v>9</v>
      </c>
    </row>
    <row r="28" spans="1:10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8</v>
      </c>
      <c r="I28">
        <v>20</v>
      </c>
    </row>
    <row r="29" spans="1:10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7</v>
      </c>
      <c r="G29" s="13"/>
      <c r="H29" s="13"/>
      <c r="I29">
        <v>9</v>
      </c>
      <c r="J29" s="13"/>
    </row>
    <row r="30" spans="1:10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3</v>
      </c>
      <c r="I30">
        <v>5</v>
      </c>
    </row>
    <row r="31" spans="1:10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4</v>
      </c>
      <c r="I31">
        <v>6</v>
      </c>
    </row>
    <row r="32" spans="1:10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10</v>
      </c>
      <c r="I32">
        <v>11</v>
      </c>
    </row>
    <row r="33" spans="1:9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4</v>
      </c>
      <c r="I33">
        <v>5</v>
      </c>
    </row>
    <row r="34" spans="1:9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1</v>
      </c>
      <c r="I34">
        <v>3</v>
      </c>
    </row>
    <row r="35" spans="1:9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4</v>
      </c>
      <c r="I35">
        <v>8</v>
      </c>
    </row>
    <row r="36" spans="1:9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6</v>
      </c>
      <c r="I36">
        <v>8</v>
      </c>
    </row>
    <row r="37" spans="1:9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7</v>
      </c>
      <c r="I37">
        <v>11</v>
      </c>
    </row>
    <row r="38" spans="1:9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9</v>
      </c>
      <c r="I38">
        <v>10</v>
      </c>
    </row>
    <row r="39" spans="1:9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3</v>
      </c>
      <c r="I39">
        <v>11</v>
      </c>
    </row>
    <row r="40" spans="1:9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8</v>
      </c>
      <c r="I40">
        <v>12</v>
      </c>
    </row>
    <row r="41" spans="1:9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2</v>
      </c>
      <c r="I41">
        <v>5</v>
      </c>
    </row>
    <row r="42" spans="1:9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2</v>
      </c>
      <c r="I42">
        <v>3</v>
      </c>
    </row>
    <row r="43" spans="1:9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0</v>
      </c>
      <c r="I43">
        <v>6</v>
      </c>
    </row>
    <row r="44" spans="1:9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8</v>
      </c>
      <c r="I44">
        <v>9</v>
      </c>
    </row>
    <row r="45" spans="1:9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4</v>
      </c>
      <c r="I45">
        <v>12</v>
      </c>
    </row>
    <row r="46" spans="1:9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9</v>
      </c>
      <c r="I46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963F-649C-AD4A-81D4-BDE33EEF3D2A}">
  <dimension ref="A1:H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3.5</v>
      </c>
    </row>
    <row r="3" spans="1:6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3.5</v>
      </c>
    </row>
    <row r="4" spans="1:6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4</v>
      </c>
    </row>
    <row r="5" spans="1:6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4</v>
      </c>
    </row>
    <row r="6" spans="1:6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3</v>
      </c>
    </row>
    <row r="7" spans="1:6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4</v>
      </c>
    </row>
    <row r="8" spans="1:6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3</v>
      </c>
    </row>
    <row r="9" spans="1:6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4</v>
      </c>
    </row>
    <row r="10" spans="1:6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4.5</v>
      </c>
    </row>
    <row r="11" spans="1:6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2</v>
      </c>
    </row>
    <row r="12" spans="1:6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2.5</v>
      </c>
    </row>
    <row r="13" spans="1:6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2</v>
      </c>
    </row>
    <row r="14" spans="1:6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2</v>
      </c>
    </row>
    <row r="15" spans="1:6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2</v>
      </c>
    </row>
    <row r="16" spans="1:6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</row>
    <row r="17" spans="1:8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2.5</v>
      </c>
    </row>
    <row r="18" spans="1:8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3</v>
      </c>
    </row>
    <row r="19" spans="1:8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3</v>
      </c>
    </row>
    <row r="20" spans="1:8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2.5</v>
      </c>
    </row>
    <row r="21" spans="1:8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2</v>
      </c>
    </row>
    <row r="22" spans="1:8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2.5</v>
      </c>
    </row>
    <row r="23" spans="1:8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3</v>
      </c>
    </row>
    <row r="24" spans="1:8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3</v>
      </c>
    </row>
    <row r="25" spans="1:8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3.5</v>
      </c>
    </row>
    <row r="26" spans="1:8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3.5</v>
      </c>
    </row>
    <row r="27" spans="1:8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3.5</v>
      </c>
    </row>
    <row r="28" spans="1:8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4.5</v>
      </c>
    </row>
    <row r="29" spans="1:8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3.5</v>
      </c>
      <c r="G29" s="13"/>
      <c r="H29" s="13"/>
    </row>
    <row r="30" spans="1:8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4</v>
      </c>
    </row>
    <row r="31" spans="1:8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3.5</v>
      </c>
    </row>
    <row r="32" spans="1:8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3</v>
      </c>
    </row>
    <row r="33" spans="1:6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3</v>
      </c>
    </row>
    <row r="34" spans="1:6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4</v>
      </c>
    </row>
    <row r="35" spans="1:6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3.5</v>
      </c>
    </row>
    <row r="36" spans="1:6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4</v>
      </c>
    </row>
    <row r="37" spans="1:6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3.5</v>
      </c>
    </row>
    <row r="38" spans="1:6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3.5</v>
      </c>
    </row>
    <row r="39" spans="1:6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2.5</v>
      </c>
    </row>
    <row r="40" spans="1:6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2</v>
      </c>
    </row>
    <row r="41" spans="1:6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2</v>
      </c>
    </row>
    <row r="42" spans="1:6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3.5</v>
      </c>
    </row>
    <row r="43" spans="1:6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3.5</v>
      </c>
    </row>
    <row r="44" spans="1:6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3.5</v>
      </c>
    </row>
    <row r="45" spans="1:6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3.5</v>
      </c>
    </row>
    <row r="46" spans="1:6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6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71.962616822429908</v>
      </c>
    </row>
    <row r="3" spans="1:6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78.787878787878782</v>
      </c>
    </row>
    <row r="4" spans="1:6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81.818181818181827</v>
      </c>
    </row>
    <row r="5" spans="1:6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64.705882352941174</v>
      </c>
    </row>
    <row r="6" spans="1:6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46.428571428571431</v>
      </c>
    </row>
    <row r="7" spans="1:6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87.5</v>
      </c>
    </row>
    <row r="8" spans="1:6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59.090909090909093</v>
      </c>
    </row>
    <row r="9" spans="1:6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56.521739130434781</v>
      </c>
    </row>
    <row r="10" spans="1:6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72.258064516129025</v>
      </c>
    </row>
    <row r="11" spans="1:6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48.192771084337352</v>
      </c>
    </row>
    <row r="12" spans="1:6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36.666666666666664</v>
      </c>
    </row>
    <row r="13" spans="1:6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58.024691358024697</v>
      </c>
    </row>
    <row r="14" spans="1:6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35.849056603773583</v>
      </c>
    </row>
    <row r="15" spans="1:6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45.283018867924532</v>
      </c>
    </row>
    <row r="16" spans="1:6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</row>
    <row r="17" spans="1:6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54.237288135593218</v>
      </c>
    </row>
    <row r="18" spans="1:6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46.969696969696969</v>
      </c>
    </row>
    <row r="19" spans="1:6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55.68181818181818</v>
      </c>
    </row>
    <row r="20" spans="1:6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42.857142857142854</v>
      </c>
    </row>
    <row r="21" spans="1:6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41.666666666666671</v>
      </c>
    </row>
    <row r="22" spans="1:6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58.333333333333336</v>
      </c>
    </row>
    <row r="23" spans="1:6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51.428571428571423</v>
      </c>
    </row>
    <row r="24" spans="1:6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65.833333333333329</v>
      </c>
    </row>
    <row r="25" spans="1:6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38.333333333333336</v>
      </c>
    </row>
    <row r="26" spans="1:6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61.702127659574465</v>
      </c>
    </row>
    <row r="27" spans="1:6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60.75949367088608</v>
      </c>
    </row>
    <row r="28" spans="1:6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57.74647887323944</v>
      </c>
    </row>
    <row r="29" spans="1:6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46.376811594202898</v>
      </c>
    </row>
    <row r="30" spans="1:6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36.986301369863014</v>
      </c>
    </row>
    <row r="31" spans="1:6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39.130434782608695</v>
      </c>
    </row>
    <row r="32" spans="1:6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48.387096774193552</v>
      </c>
    </row>
    <row r="33" spans="1:6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45.454545454545453</v>
      </c>
    </row>
    <row r="34" spans="1:6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48.387096774193552</v>
      </c>
    </row>
    <row r="35" spans="1:6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48.453608247422679</v>
      </c>
    </row>
    <row r="36" spans="1:6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69.710669077757657</v>
      </c>
    </row>
    <row r="37" spans="1:6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71.910112359550567</v>
      </c>
    </row>
    <row r="38" spans="1:6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50</v>
      </c>
    </row>
    <row r="39" spans="1:6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51.851851851851848</v>
      </c>
    </row>
    <row r="40" spans="1:6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25</v>
      </c>
    </row>
    <row r="41" spans="1:6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18.461538461538463</v>
      </c>
    </row>
    <row r="42" spans="1:6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50</v>
      </c>
    </row>
    <row r="43" spans="1:6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51.162790697674424</v>
      </c>
    </row>
    <row r="44" spans="1:6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42.857142857142854</v>
      </c>
    </row>
    <row r="45" spans="1:6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69.047619047619051</v>
      </c>
    </row>
    <row r="46" spans="1:6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63.636363636363633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7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F2">
        <v>305.00000000000006</v>
      </c>
      <c r="G2" s="14"/>
    </row>
    <row r="3" spans="1:7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320</v>
      </c>
      <c r="G3" s="14"/>
    </row>
    <row r="4" spans="1:7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200.00000000000009</v>
      </c>
      <c r="G4" s="14"/>
    </row>
    <row r="5" spans="1:7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275</v>
      </c>
      <c r="G5" s="14"/>
    </row>
    <row r="6" spans="1:7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480</v>
      </c>
      <c r="G6" s="14"/>
    </row>
    <row r="7" spans="1:7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200.00000000000009</v>
      </c>
      <c r="G7" s="14"/>
    </row>
    <row r="8" spans="1:7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229.99999999999997</v>
      </c>
      <c r="G8" s="14"/>
    </row>
    <row r="9" spans="1:7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200.00000000000009</v>
      </c>
      <c r="G9" s="14"/>
    </row>
    <row r="10" spans="1:7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320</v>
      </c>
      <c r="G10" s="14"/>
    </row>
    <row r="11" spans="1:7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250</v>
      </c>
      <c r="G11" s="14"/>
    </row>
    <row r="12" spans="1:7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399.99999999999994</v>
      </c>
      <c r="G12" s="14"/>
    </row>
    <row r="13" spans="1:7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480</v>
      </c>
      <c r="G13" s="14"/>
    </row>
    <row r="14" spans="1:7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480</v>
      </c>
      <c r="G14" s="14"/>
    </row>
    <row r="15" spans="1:7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480</v>
      </c>
      <c r="G15" s="14"/>
    </row>
    <row r="16" spans="1:7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354.99999999999994</v>
      </c>
      <c r="G16" s="14"/>
    </row>
    <row r="17" spans="1:7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250</v>
      </c>
      <c r="G17" s="14"/>
    </row>
    <row r="18" spans="1:7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250</v>
      </c>
      <c r="G18" s="14"/>
    </row>
    <row r="19" spans="1:7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340</v>
      </c>
    </row>
    <row r="20" spans="1:7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264.99999999999994</v>
      </c>
    </row>
    <row r="21" spans="1:7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250</v>
      </c>
    </row>
    <row r="22" spans="1:7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250</v>
      </c>
    </row>
    <row r="23" spans="1:7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399.99999999999994</v>
      </c>
    </row>
    <row r="24" spans="1:7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195.00000000000003</v>
      </c>
    </row>
    <row r="25" spans="1:7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254.99999999999997</v>
      </c>
    </row>
    <row r="26" spans="1:7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314.99999999999994</v>
      </c>
    </row>
    <row r="27" spans="1:7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195.00000000000003</v>
      </c>
    </row>
    <row r="28" spans="1:7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195.00000000000003</v>
      </c>
    </row>
    <row r="29" spans="1:7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345</v>
      </c>
    </row>
    <row r="30" spans="1:7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195.00000000000003</v>
      </c>
    </row>
    <row r="31" spans="1:7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195.00000000000003</v>
      </c>
    </row>
    <row r="32" spans="1:7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195.00000000000003</v>
      </c>
    </row>
    <row r="33" spans="1:6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345</v>
      </c>
    </row>
    <row r="34" spans="1:6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195.00000000000003</v>
      </c>
    </row>
    <row r="35" spans="1:6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195.00000000000003</v>
      </c>
    </row>
    <row r="36" spans="1:6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235.00000000000006</v>
      </c>
    </row>
    <row r="37" spans="1:6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235.00000000000006</v>
      </c>
    </row>
    <row r="38" spans="1:6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235.00000000000006</v>
      </c>
    </row>
    <row r="39" spans="1:6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290.00000000000011</v>
      </c>
    </row>
    <row r="40" spans="1:6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335.00000000000011</v>
      </c>
    </row>
    <row r="41" spans="1:6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290.00000000000011</v>
      </c>
    </row>
    <row r="42" spans="1:6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269.99999999999994</v>
      </c>
    </row>
    <row r="43" spans="1:6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269.99999999999994</v>
      </c>
    </row>
    <row r="44" spans="1:6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300</v>
      </c>
    </row>
    <row r="45" spans="1:6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224.99999999999991</v>
      </c>
    </row>
    <row r="46" spans="1:6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224.99999999999991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G46"/>
  <sheetViews>
    <sheetView topLeftCell="A15" workbookViewId="0">
      <selection activeCell="F36" sqref="F36:F46"/>
    </sheetView>
  </sheetViews>
  <sheetFormatPr baseColWidth="10" defaultRowHeight="16" x14ac:dyDescent="0.2"/>
  <sheetData>
    <row r="1" spans="1:7" x14ac:dyDescent="0.2">
      <c r="A1" t="s">
        <v>47</v>
      </c>
      <c r="B1" t="s">
        <v>2</v>
      </c>
      <c r="C1" t="s">
        <v>49</v>
      </c>
      <c r="D1" t="s">
        <v>48</v>
      </c>
      <c r="E1" t="s">
        <v>46</v>
      </c>
      <c r="F1" t="s">
        <v>53</v>
      </c>
    </row>
    <row r="2" spans="1:7" x14ac:dyDescent="0.2">
      <c r="A2">
        <v>1</v>
      </c>
      <c r="B2" s="17" t="s">
        <v>18</v>
      </c>
      <c r="C2" s="17" t="s">
        <v>50</v>
      </c>
      <c r="D2" s="17">
        <v>1</v>
      </c>
      <c r="E2" s="17">
        <v>2272</v>
      </c>
      <c r="G2" s="14"/>
    </row>
    <row r="3" spans="1:7" x14ac:dyDescent="0.2">
      <c r="A3">
        <v>1</v>
      </c>
      <c r="B3" s="17" t="s">
        <v>18</v>
      </c>
      <c r="C3" s="17" t="s">
        <v>50</v>
      </c>
      <c r="D3" s="17">
        <v>1</v>
      </c>
      <c r="E3" s="17">
        <v>2273</v>
      </c>
      <c r="F3">
        <v>27.000000000000064</v>
      </c>
      <c r="G3" s="14"/>
    </row>
    <row r="4" spans="1:7" x14ac:dyDescent="0.2">
      <c r="A4">
        <v>1</v>
      </c>
      <c r="B4" s="17" t="s">
        <v>18</v>
      </c>
      <c r="C4" s="17" t="s">
        <v>50</v>
      </c>
      <c r="D4" s="17">
        <v>1</v>
      </c>
      <c r="E4" s="17">
        <v>2274</v>
      </c>
      <c r="F4">
        <v>0.99999999999999645</v>
      </c>
      <c r="G4" s="14"/>
    </row>
    <row r="5" spans="1:7" x14ac:dyDescent="0.2">
      <c r="A5">
        <v>1</v>
      </c>
      <c r="B5" s="17" t="s">
        <v>18</v>
      </c>
      <c r="C5" s="17" t="s">
        <v>50</v>
      </c>
      <c r="D5" s="17">
        <v>1</v>
      </c>
      <c r="E5" s="17">
        <v>2270</v>
      </c>
      <c r="F5">
        <v>0</v>
      </c>
      <c r="G5" s="14"/>
    </row>
    <row r="6" spans="1:7" x14ac:dyDescent="0.2">
      <c r="A6">
        <v>1</v>
      </c>
      <c r="B6" s="17" t="s">
        <v>18</v>
      </c>
      <c r="C6" s="17" t="s">
        <v>50</v>
      </c>
      <c r="D6" s="17">
        <v>2</v>
      </c>
      <c r="E6" s="17">
        <v>2301</v>
      </c>
      <c r="F6">
        <v>11.000000000000121</v>
      </c>
      <c r="G6" s="14"/>
    </row>
    <row r="7" spans="1:7" x14ac:dyDescent="0.2">
      <c r="A7">
        <v>1</v>
      </c>
      <c r="B7" s="17" t="s">
        <v>18</v>
      </c>
      <c r="C7" s="17" t="s">
        <v>50</v>
      </c>
      <c r="D7" s="17">
        <v>2</v>
      </c>
      <c r="E7" s="17">
        <v>2302</v>
      </c>
      <c r="F7">
        <v>5.9999999999999787</v>
      </c>
      <c r="G7" s="14"/>
    </row>
    <row r="8" spans="1:7" x14ac:dyDescent="0.2">
      <c r="A8">
        <v>1</v>
      </c>
      <c r="B8" s="17" t="s">
        <v>18</v>
      </c>
      <c r="C8" s="17" t="s">
        <v>50</v>
      </c>
      <c r="D8" s="17">
        <v>2</v>
      </c>
      <c r="E8" s="17">
        <v>2303</v>
      </c>
      <c r="F8">
        <v>0.99999999999999645</v>
      </c>
      <c r="G8" s="14"/>
    </row>
    <row r="9" spans="1:7" x14ac:dyDescent="0.2">
      <c r="A9">
        <v>1</v>
      </c>
      <c r="B9" s="17" t="s">
        <v>18</v>
      </c>
      <c r="C9" s="17" t="s">
        <v>50</v>
      </c>
      <c r="D9" s="17">
        <v>3</v>
      </c>
      <c r="E9" s="17">
        <v>2304</v>
      </c>
      <c r="F9">
        <v>12.999999999999954</v>
      </c>
      <c r="G9" s="14"/>
    </row>
    <row r="10" spans="1:7" x14ac:dyDescent="0.2">
      <c r="A10">
        <v>1</v>
      </c>
      <c r="B10" s="17" t="s">
        <v>18</v>
      </c>
      <c r="C10" s="17" t="s">
        <v>50</v>
      </c>
      <c r="D10" s="17">
        <v>3</v>
      </c>
      <c r="E10" s="17">
        <v>2306</v>
      </c>
      <c r="F10">
        <v>1.9999999999999929</v>
      </c>
      <c r="G10" s="14"/>
    </row>
    <row r="11" spans="1:7" x14ac:dyDescent="0.2">
      <c r="A11">
        <v>1</v>
      </c>
      <c r="B11" s="17" t="s">
        <v>51</v>
      </c>
      <c r="C11" s="17" t="s">
        <v>50</v>
      </c>
      <c r="D11" s="17">
        <v>4</v>
      </c>
      <c r="E11" s="17">
        <v>2267</v>
      </c>
      <c r="F11">
        <v>22</v>
      </c>
      <c r="G11" s="14"/>
    </row>
    <row r="12" spans="1:7" x14ac:dyDescent="0.2">
      <c r="A12">
        <v>1</v>
      </c>
      <c r="B12" s="17" t="s">
        <v>51</v>
      </c>
      <c r="C12" s="17" t="s">
        <v>50</v>
      </c>
      <c r="D12" s="17">
        <v>4</v>
      </c>
      <c r="E12" s="17">
        <v>2268</v>
      </c>
      <c r="F12">
        <v>13.000000000000034</v>
      </c>
      <c r="G12" s="14"/>
    </row>
    <row r="13" spans="1:7" x14ac:dyDescent="0.2">
      <c r="A13">
        <v>1</v>
      </c>
      <c r="B13" s="17" t="s">
        <v>51</v>
      </c>
      <c r="C13" s="17" t="s">
        <v>50</v>
      </c>
      <c r="D13" s="17">
        <v>4</v>
      </c>
      <c r="E13" s="17">
        <v>2269</v>
      </c>
      <c r="F13">
        <v>18.000000000000014</v>
      </c>
      <c r="G13" s="14"/>
    </row>
    <row r="14" spans="1:7" x14ac:dyDescent="0.2">
      <c r="A14">
        <v>1</v>
      </c>
      <c r="B14" s="17" t="s">
        <v>51</v>
      </c>
      <c r="C14" s="17" t="s">
        <v>50</v>
      </c>
      <c r="D14" s="17">
        <v>4</v>
      </c>
      <c r="E14" s="17">
        <v>2271</v>
      </c>
      <c r="F14">
        <v>28.00000000000006</v>
      </c>
      <c r="G14" s="14"/>
    </row>
    <row r="15" spans="1:7" x14ac:dyDescent="0.2">
      <c r="A15">
        <v>1</v>
      </c>
      <c r="B15" s="17" t="s">
        <v>51</v>
      </c>
      <c r="C15" s="17" t="s">
        <v>50</v>
      </c>
      <c r="D15" s="17">
        <v>4</v>
      </c>
      <c r="E15" s="17">
        <v>2275</v>
      </c>
      <c r="F15">
        <v>60</v>
      </c>
      <c r="G15" s="14"/>
    </row>
    <row r="16" spans="1:7" x14ac:dyDescent="0.2">
      <c r="A16">
        <v>1</v>
      </c>
      <c r="B16" s="17" t="s">
        <v>51</v>
      </c>
      <c r="C16" s="17" t="s">
        <v>50</v>
      </c>
      <c r="D16" s="17">
        <v>5</v>
      </c>
      <c r="E16" s="17">
        <v>2289</v>
      </c>
      <c r="F16">
        <v>28.999999999999979</v>
      </c>
      <c r="G16" s="14"/>
    </row>
    <row r="17" spans="1:7" x14ac:dyDescent="0.2">
      <c r="A17">
        <v>1</v>
      </c>
      <c r="B17" s="17" t="s">
        <v>51</v>
      </c>
      <c r="C17" s="17" t="s">
        <v>50</v>
      </c>
      <c r="D17" s="17">
        <v>5</v>
      </c>
      <c r="E17" s="17">
        <v>2290</v>
      </c>
      <c r="F17">
        <v>49.999999999999986</v>
      </c>
      <c r="G17" s="14"/>
    </row>
    <row r="18" spans="1:7" x14ac:dyDescent="0.2">
      <c r="A18">
        <v>1</v>
      </c>
      <c r="B18" s="17" t="s">
        <v>51</v>
      </c>
      <c r="C18" s="17" t="s">
        <v>50</v>
      </c>
      <c r="D18" s="17">
        <v>5</v>
      </c>
      <c r="E18" s="17">
        <v>2292</v>
      </c>
      <c r="F18">
        <v>49.999999999999986</v>
      </c>
      <c r="G18" s="14"/>
    </row>
    <row r="19" spans="1:7" x14ac:dyDescent="0.2">
      <c r="A19">
        <v>1</v>
      </c>
      <c r="B19" s="17" t="s">
        <v>51</v>
      </c>
      <c r="C19" s="17" t="s">
        <v>50</v>
      </c>
      <c r="D19" s="17">
        <v>6</v>
      </c>
      <c r="E19" s="17">
        <v>2297</v>
      </c>
      <c r="F19">
        <v>15.000000000000027</v>
      </c>
      <c r="G19" s="12"/>
    </row>
    <row r="20" spans="1:7" x14ac:dyDescent="0.2">
      <c r="A20">
        <v>1</v>
      </c>
      <c r="B20" s="17" t="s">
        <v>51</v>
      </c>
      <c r="C20" s="17" t="s">
        <v>50</v>
      </c>
      <c r="D20" s="17">
        <v>6</v>
      </c>
      <c r="E20" s="17">
        <v>2298</v>
      </c>
      <c r="F20">
        <v>23.999999999999993</v>
      </c>
      <c r="G20" s="12"/>
    </row>
    <row r="21" spans="1:7" x14ac:dyDescent="0.2">
      <c r="A21">
        <v>1</v>
      </c>
      <c r="B21" s="17" t="s">
        <v>51</v>
      </c>
      <c r="C21" s="17" t="s">
        <v>50</v>
      </c>
      <c r="D21" s="17">
        <v>6</v>
      </c>
      <c r="E21" s="17">
        <v>2299</v>
      </c>
      <c r="F21">
        <v>20.000000000000007</v>
      </c>
      <c r="G21" s="12"/>
    </row>
    <row r="22" spans="1:7" x14ac:dyDescent="0.2">
      <c r="A22">
        <v>1</v>
      </c>
      <c r="B22" s="17" t="s">
        <v>51</v>
      </c>
      <c r="C22" s="17" t="s">
        <v>50</v>
      </c>
      <c r="D22" s="17">
        <v>7</v>
      </c>
      <c r="E22" s="17">
        <v>2307</v>
      </c>
      <c r="F22">
        <v>38.000000000000028</v>
      </c>
      <c r="G22" s="12"/>
    </row>
    <row r="23" spans="1:7" x14ac:dyDescent="0.2">
      <c r="A23">
        <v>1</v>
      </c>
      <c r="B23" s="17" t="s">
        <v>51</v>
      </c>
      <c r="C23" s="17" t="s">
        <v>50</v>
      </c>
      <c r="D23" s="17">
        <v>7</v>
      </c>
      <c r="E23" s="17">
        <v>2308</v>
      </c>
      <c r="F23">
        <v>17.000000000000021</v>
      </c>
      <c r="G23" s="12"/>
    </row>
    <row r="24" spans="1:7" x14ac:dyDescent="0.2">
      <c r="A24">
        <v>1</v>
      </c>
      <c r="B24" s="17" t="s">
        <v>51</v>
      </c>
      <c r="C24" s="17" t="s">
        <v>52</v>
      </c>
      <c r="D24" s="17">
        <v>8</v>
      </c>
      <c r="E24" s="17">
        <v>2276</v>
      </c>
      <c r="F24">
        <v>20.999999999999925</v>
      </c>
      <c r="G24" s="12"/>
    </row>
    <row r="25" spans="1:7" x14ac:dyDescent="0.2">
      <c r="A25">
        <v>1</v>
      </c>
      <c r="B25" s="17" t="s">
        <v>51</v>
      </c>
      <c r="C25" s="17" t="s">
        <v>52</v>
      </c>
      <c r="D25" s="17">
        <v>8</v>
      </c>
      <c r="E25" s="17">
        <v>2277</v>
      </c>
      <c r="F25">
        <v>23</v>
      </c>
      <c r="G25" s="12"/>
    </row>
    <row r="26" spans="1:7" x14ac:dyDescent="0.2">
      <c r="A26">
        <v>1</v>
      </c>
      <c r="B26" s="17" t="s">
        <v>51</v>
      </c>
      <c r="C26" s="17" t="s">
        <v>52</v>
      </c>
      <c r="D26" s="17">
        <v>8</v>
      </c>
      <c r="E26" s="17">
        <v>2279</v>
      </c>
      <c r="F26">
        <v>0.99999999999999645</v>
      </c>
      <c r="G26" s="12"/>
    </row>
    <row r="27" spans="1:7" x14ac:dyDescent="0.2">
      <c r="A27">
        <v>1</v>
      </c>
      <c r="B27" s="17" t="s">
        <v>51</v>
      </c>
      <c r="C27" s="17" t="s">
        <v>52</v>
      </c>
      <c r="D27" s="17">
        <v>9</v>
      </c>
      <c r="E27" s="17">
        <v>2280</v>
      </c>
      <c r="F27">
        <v>0</v>
      </c>
      <c r="G27" s="12"/>
    </row>
    <row r="28" spans="1:7" x14ac:dyDescent="0.2">
      <c r="A28">
        <v>1</v>
      </c>
      <c r="B28" s="17" t="s">
        <v>51</v>
      </c>
      <c r="C28" s="17" t="s">
        <v>52</v>
      </c>
      <c r="D28" s="17">
        <v>9</v>
      </c>
      <c r="E28" s="17">
        <v>2281</v>
      </c>
      <c r="F28">
        <v>6.9999999999999751</v>
      </c>
      <c r="G28" s="12"/>
    </row>
    <row r="29" spans="1:7" x14ac:dyDescent="0.2">
      <c r="A29">
        <v>1</v>
      </c>
      <c r="B29" s="17" t="s">
        <v>51</v>
      </c>
      <c r="C29" s="17" t="s">
        <v>52</v>
      </c>
      <c r="D29" s="17">
        <v>9</v>
      </c>
      <c r="E29" s="17">
        <v>2283</v>
      </c>
      <c r="F29">
        <v>22</v>
      </c>
      <c r="G29" s="12"/>
    </row>
    <row r="30" spans="1:7" x14ac:dyDescent="0.2">
      <c r="A30">
        <v>1</v>
      </c>
      <c r="B30" s="17" t="s">
        <v>51</v>
      </c>
      <c r="C30" s="17" t="s">
        <v>52</v>
      </c>
      <c r="D30" s="17">
        <v>10</v>
      </c>
      <c r="E30" s="17">
        <v>2284</v>
      </c>
      <c r="F30">
        <v>3.0000000000000693</v>
      </c>
      <c r="G30" s="12"/>
    </row>
    <row r="31" spans="1:7" x14ac:dyDescent="0.2">
      <c r="A31">
        <v>1</v>
      </c>
      <c r="B31" s="17" t="s">
        <v>51</v>
      </c>
      <c r="C31" s="17" t="s">
        <v>52</v>
      </c>
      <c r="D31" s="17">
        <v>10</v>
      </c>
      <c r="E31" s="17">
        <v>2285</v>
      </c>
      <c r="F31">
        <v>0.99999999999999645</v>
      </c>
      <c r="G31" s="12"/>
    </row>
    <row r="32" spans="1:7" x14ac:dyDescent="0.2">
      <c r="A32">
        <v>1</v>
      </c>
      <c r="B32" s="17" t="s">
        <v>51</v>
      </c>
      <c r="C32" s="17" t="s">
        <v>52</v>
      </c>
      <c r="D32" s="17">
        <v>10</v>
      </c>
      <c r="E32" s="17">
        <v>2288</v>
      </c>
      <c r="F32">
        <v>15.999999999999943</v>
      </c>
      <c r="G32" s="12"/>
    </row>
    <row r="33" spans="1:7" x14ac:dyDescent="0.2">
      <c r="A33">
        <v>1</v>
      </c>
      <c r="B33" s="17" t="s">
        <v>51</v>
      </c>
      <c r="C33" s="17" t="s">
        <v>52</v>
      </c>
      <c r="D33" s="17">
        <v>11</v>
      </c>
      <c r="E33" s="17">
        <v>2312</v>
      </c>
      <c r="F33">
        <v>14.00000000000003</v>
      </c>
      <c r="G33" s="12"/>
    </row>
    <row r="34" spans="1:7" x14ac:dyDescent="0.2">
      <c r="A34">
        <v>1</v>
      </c>
      <c r="B34" s="17" t="s">
        <v>51</v>
      </c>
      <c r="C34" s="17" t="s">
        <v>52</v>
      </c>
      <c r="D34" s="17">
        <v>11</v>
      </c>
      <c r="E34" s="17">
        <v>2313</v>
      </c>
      <c r="F34">
        <v>9.000000000000048</v>
      </c>
    </row>
    <row r="35" spans="1:7" x14ac:dyDescent="0.2">
      <c r="A35">
        <v>1</v>
      </c>
      <c r="B35" s="17" t="s">
        <v>51</v>
      </c>
      <c r="C35" s="17" t="s">
        <v>52</v>
      </c>
      <c r="D35" s="17">
        <v>11</v>
      </c>
      <c r="E35" s="17">
        <v>2315</v>
      </c>
      <c r="F35">
        <v>1.9999999999999929</v>
      </c>
    </row>
    <row r="36" spans="1:7" x14ac:dyDescent="0.2">
      <c r="A36">
        <v>2</v>
      </c>
      <c r="B36" s="17" t="s">
        <v>18</v>
      </c>
      <c r="C36" s="17" t="s">
        <v>50</v>
      </c>
      <c r="D36" s="17">
        <v>12</v>
      </c>
      <c r="E36" s="17">
        <v>2311</v>
      </c>
      <c r="F36">
        <v>0</v>
      </c>
    </row>
    <row r="37" spans="1:7" x14ac:dyDescent="0.2">
      <c r="A37">
        <v>2</v>
      </c>
      <c r="B37" s="17" t="s">
        <v>18</v>
      </c>
      <c r="C37" s="17" t="s">
        <v>50</v>
      </c>
      <c r="D37" s="17">
        <v>12</v>
      </c>
      <c r="E37" s="17">
        <v>2314</v>
      </c>
      <c r="F37">
        <v>7.0000000000000551</v>
      </c>
    </row>
    <row r="38" spans="1:7" x14ac:dyDescent="0.2">
      <c r="A38">
        <v>2</v>
      </c>
      <c r="B38" s="17" t="s">
        <v>18</v>
      </c>
      <c r="C38" s="17" t="s">
        <v>50</v>
      </c>
      <c r="D38" s="17">
        <v>12</v>
      </c>
      <c r="E38" s="17">
        <v>2316</v>
      </c>
      <c r="F38">
        <v>0.99999999999999645</v>
      </c>
    </row>
    <row r="39" spans="1:7" x14ac:dyDescent="0.2">
      <c r="A39">
        <v>2</v>
      </c>
      <c r="B39" s="17" t="s">
        <v>51</v>
      </c>
      <c r="C39" s="17" t="s">
        <v>50</v>
      </c>
      <c r="D39" s="17">
        <v>13</v>
      </c>
      <c r="E39" s="17">
        <v>2323</v>
      </c>
      <c r="F39">
        <v>13.99999999999995</v>
      </c>
    </row>
    <row r="40" spans="1:7" x14ac:dyDescent="0.2">
      <c r="A40">
        <v>2</v>
      </c>
      <c r="B40" s="17" t="s">
        <v>51</v>
      </c>
      <c r="C40" s="17" t="s">
        <v>50</v>
      </c>
      <c r="D40" s="17">
        <v>13</v>
      </c>
      <c r="E40" s="17">
        <v>2324</v>
      </c>
      <c r="F40">
        <v>17.000000000000021</v>
      </c>
    </row>
    <row r="41" spans="1:7" x14ac:dyDescent="0.2">
      <c r="A41">
        <v>2</v>
      </c>
      <c r="B41" s="17" t="s">
        <v>51</v>
      </c>
      <c r="C41" s="17" t="s">
        <v>50</v>
      </c>
      <c r="D41" s="17">
        <v>13</v>
      </c>
      <c r="E41" s="17">
        <v>2325</v>
      </c>
      <c r="F41">
        <v>18.000000000000014</v>
      </c>
    </row>
    <row r="42" spans="1:7" x14ac:dyDescent="0.2">
      <c r="A42">
        <v>2</v>
      </c>
      <c r="B42" s="17" t="s">
        <v>51</v>
      </c>
      <c r="C42" s="17" t="s">
        <v>52</v>
      </c>
      <c r="D42" s="17">
        <v>14</v>
      </c>
      <c r="E42" s="17">
        <v>2320</v>
      </c>
      <c r="F42">
        <v>0.99999999999999645</v>
      </c>
    </row>
    <row r="43" spans="1:7" x14ac:dyDescent="0.2">
      <c r="A43">
        <v>2</v>
      </c>
      <c r="B43" s="17" t="s">
        <v>51</v>
      </c>
      <c r="C43" s="17" t="s">
        <v>52</v>
      </c>
      <c r="D43" s="17">
        <v>14</v>
      </c>
      <c r="E43" s="17">
        <v>2321</v>
      </c>
      <c r="F43">
        <v>12.000000000000037</v>
      </c>
    </row>
    <row r="44" spans="1:7" x14ac:dyDescent="0.2">
      <c r="A44">
        <v>2</v>
      </c>
      <c r="B44" s="17" t="s">
        <v>51</v>
      </c>
      <c r="C44" s="17" t="s">
        <v>52</v>
      </c>
      <c r="D44" s="17">
        <v>14</v>
      </c>
      <c r="E44" s="17">
        <v>2322</v>
      </c>
      <c r="F44">
        <v>22</v>
      </c>
    </row>
    <row r="45" spans="1:7" x14ac:dyDescent="0.2">
      <c r="A45">
        <v>2</v>
      </c>
      <c r="B45" s="17" t="s">
        <v>51</v>
      </c>
      <c r="C45" s="17" t="s">
        <v>52</v>
      </c>
      <c r="D45" s="17">
        <v>15</v>
      </c>
      <c r="E45" s="17">
        <v>2317</v>
      </c>
      <c r="F45">
        <v>3.9999999999999858</v>
      </c>
    </row>
    <row r="46" spans="1:7" x14ac:dyDescent="0.2">
      <c r="A46">
        <v>2</v>
      </c>
      <c r="B46" s="17" t="s">
        <v>51</v>
      </c>
      <c r="C46" s="17" t="s">
        <v>52</v>
      </c>
      <c r="D46" s="17">
        <v>15</v>
      </c>
      <c r="E46" s="17">
        <v>2319</v>
      </c>
      <c r="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Cohort 1</vt:lpstr>
      <vt:lpstr>Cohort 2</vt:lpstr>
      <vt:lpstr>Beam</vt:lpstr>
      <vt:lpstr>Beam_steps</vt:lpstr>
      <vt:lpstr>Pole</vt:lpstr>
      <vt:lpstr>Wirehang</vt:lpstr>
      <vt:lpstr>Sticker</vt:lpstr>
      <vt:lpstr>Hindlimb</vt:lpstr>
      <vt:lpstr>Fecal_output</vt:lpstr>
      <vt:lpstr>Fecal_score</vt:lpstr>
      <vt:lpstr>Water_content</vt:lpstr>
      <vt:lpstr>Carmine_red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Moiseyenko, Anastasiya (Ana)</cp:lastModifiedBy>
  <dcterms:created xsi:type="dcterms:W3CDTF">2024-01-09T23:21:32Z</dcterms:created>
  <dcterms:modified xsi:type="dcterms:W3CDTF">2025-02-21T20:00:42Z</dcterms:modified>
</cp:coreProperties>
</file>